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tables/table11.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slicers/slicer1.xml" ContentType="application/vnd.ms-excel.slicer+xml"/>
  <Override PartName="/xl/slicers/slicer2.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6.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drawings/drawing7.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slicers/slicer3.xml" ContentType="application/vnd.ms-excel.slicer+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sus\Documents\cpi inflation\"/>
    </mc:Choice>
  </mc:AlternateContent>
  <xr:revisionPtr revIDLastSave="0" documentId="13_ncr:1_{8FA5C10D-8B4E-4B36-BFA1-766697407732}" xr6:coauthVersionLast="47" xr6:coauthVersionMax="47" xr10:uidLastSave="{00000000-0000-0000-0000-000000000000}"/>
  <bookViews>
    <workbookView xWindow="-108" yWindow="-108" windowWidth="23256" windowHeight="12456" firstSheet="3" activeTab="7" xr2:uid="{00000000-000D-0000-FFFF-FFFF00000000}"/>
  </bookViews>
  <sheets>
    <sheet name="RAW DATA" sheetId="2" r:id="rId1"/>
    <sheet name="random data" sheetId="5" state="hidden" r:id="rId2"/>
    <sheet name="Insight Question 1" sheetId="13" r:id="rId3"/>
    <sheet name="Insight Question 2" sheetId="15" r:id="rId4"/>
    <sheet name="Insight Question 3" sheetId="14" r:id="rId5"/>
    <sheet name="Insight Question 4" sheetId="16" r:id="rId6"/>
    <sheet name="Inisght Question 5" sheetId="10" r:id="rId7"/>
    <sheet name="Answer " sheetId="17" r:id="rId8"/>
  </sheets>
  <definedNames>
    <definedName name="_xlnm._FilterDatabase" localSheetId="1" hidden="1">'random data'!$A$2:$E$29</definedName>
    <definedName name="ExternalData_1" localSheetId="0" hidden="1">'RAW DATA'!$A$2:$AD$374</definedName>
    <definedName name="Slicer_Sector">#N/A</definedName>
    <definedName name="Slicer_Sector1">#N/A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11" i="13" l="1"/>
  <c r="AR12" i="13"/>
  <c r="AR13" i="13"/>
  <c r="AR14" i="13"/>
  <c r="AR15" i="13"/>
  <c r="AR16" i="13"/>
  <c r="AR17" i="13"/>
  <c r="AR18" i="13"/>
  <c r="AR19" i="13"/>
  <c r="AR10" i="13"/>
  <c r="AQ19" i="13"/>
  <c r="AO19" i="13"/>
  <c r="AM19" i="13"/>
  <c r="AQ18" i="13"/>
  <c r="AO18" i="13"/>
  <c r="AM18" i="13"/>
  <c r="AQ17" i="13"/>
  <c r="AO17" i="13"/>
  <c r="AM17" i="13"/>
  <c r="AQ16" i="13"/>
  <c r="AO16" i="13"/>
  <c r="AM16" i="13"/>
  <c r="AQ15" i="13"/>
  <c r="AO15" i="13"/>
  <c r="AM15" i="13"/>
  <c r="AQ14" i="13"/>
  <c r="AO14" i="13"/>
  <c r="AM14" i="13"/>
  <c r="AQ13" i="13"/>
  <c r="AO13" i="13"/>
  <c r="AM13" i="13"/>
  <c r="AQ12" i="13"/>
  <c r="AO12" i="13"/>
  <c r="AM12" i="13"/>
  <c r="AQ11" i="13"/>
  <c r="AO11" i="13"/>
  <c r="AM11" i="13"/>
  <c r="AQ10" i="13"/>
  <c r="AO10" i="13"/>
  <c r="AM10" i="13"/>
  <c r="AS10" i="13" l="1"/>
  <c r="AS19" i="13"/>
  <c r="AS18" i="13"/>
  <c r="AS17" i="13"/>
  <c r="AS16" i="13"/>
  <c r="AS15" i="13"/>
  <c r="AS14" i="13"/>
  <c r="AS13" i="13"/>
  <c r="AS12" i="13"/>
  <c r="AS11" i="13"/>
  <c r="F3" i="13"/>
  <c r="H3" i="13"/>
  <c r="J3" i="13"/>
  <c r="F4" i="13"/>
  <c r="F5" i="13"/>
  <c r="F6" i="13"/>
  <c r="F7" i="13"/>
  <c r="F8" i="13"/>
  <c r="F9" i="13"/>
  <c r="F10" i="13"/>
  <c r="F11" i="13"/>
  <c r="F12" i="13"/>
  <c r="H4" i="13"/>
  <c r="H5" i="13"/>
  <c r="H6" i="13"/>
  <c r="H7" i="13"/>
  <c r="H8" i="13"/>
  <c r="H9" i="13"/>
  <c r="H10" i="13"/>
  <c r="H11" i="13"/>
  <c r="H12" i="13"/>
  <c r="J4" i="13"/>
  <c r="J5" i="13"/>
  <c r="J6" i="13"/>
  <c r="J7" i="13"/>
  <c r="J8" i="13"/>
  <c r="J9" i="13"/>
  <c r="J10" i="13"/>
  <c r="J11" i="13"/>
  <c r="J12" i="13"/>
  <c r="I30" i="10"/>
  <c r="I29" i="10"/>
  <c r="I28" i="10"/>
  <c r="I27" i="10"/>
  <c r="I26" i="10"/>
  <c r="I25" i="10"/>
  <c r="I24" i="10"/>
  <c r="I23" i="10"/>
  <c r="I22" i="10"/>
  <c r="I21" i="10"/>
  <c r="I20" i="10"/>
  <c r="I19" i="10"/>
  <c r="I18" i="10"/>
  <c r="I17" i="10"/>
  <c r="I16" i="10"/>
  <c r="I15" i="10"/>
  <c r="I14" i="10"/>
  <c r="I13" i="10"/>
  <c r="I12" i="10"/>
  <c r="I11" i="10"/>
  <c r="I10" i="10"/>
  <c r="I9" i="10"/>
  <c r="I8" i="10"/>
  <c r="I7" i="10"/>
  <c r="I6" i="10"/>
  <c r="I5" i="10"/>
  <c r="I4"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 r="F4" i="10"/>
  <c r="C30" i="10"/>
  <c r="C29" i="10"/>
  <c r="C28" i="10"/>
  <c r="C27" i="10"/>
  <c r="C26" i="10"/>
  <c r="C25" i="10"/>
  <c r="C24" i="10"/>
  <c r="C23" i="10"/>
  <c r="C22" i="10"/>
  <c r="C20" i="10"/>
  <c r="C19" i="10"/>
  <c r="C18" i="10"/>
  <c r="C17" i="10"/>
  <c r="C16" i="10"/>
  <c r="C15" i="10"/>
  <c r="C14" i="10"/>
  <c r="C13" i="10"/>
  <c r="C11" i="10"/>
  <c r="C12" i="10"/>
  <c r="C10" i="10"/>
  <c r="C9" i="10"/>
  <c r="C8" i="10"/>
  <c r="C7" i="10"/>
  <c r="C6" i="10"/>
  <c r="C5" i="10" l="1"/>
  <c r="C4" i="10"/>
  <c r="J147" i="13"/>
  <c r="K145" i="13" s="1"/>
  <c r="H147" i="13"/>
  <c r="I145" i="13" s="1"/>
  <c r="F147" i="13"/>
  <c r="G145" i="13" s="1"/>
  <c r="J110" i="13"/>
  <c r="H110" i="13"/>
  <c r="F110" i="13"/>
  <c r="K108" i="13" l="1"/>
  <c r="K109" i="13"/>
  <c r="K106" i="13"/>
  <c r="K107" i="13"/>
  <c r="G106" i="13"/>
  <c r="G108" i="13"/>
  <c r="G109" i="13"/>
  <c r="G107" i="13"/>
  <c r="G110" i="13"/>
  <c r="K110" i="13"/>
  <c r="I107" i="13"/>
  <c r="I110" i="13"/>
  <c r="I106" i="13"/>
  <c r="I108" i="13"/>
  <c r="I109" i="13"/>
  <c r="G144" i="13"/>
  <c r="G147" i="13"/>
  <c r="G146" i="13"/>
  <c r="I144" i="13"/>
  <c r="I147" i="13"/>
  <c r="I146" i="13"/>
  <c r="K144" i="13"/>
  <c r="K147" i="13"/>
  <c r="K146" i="13"/>
  <c r="AN6" i="5"/>
  <c r="AN5" i="5"/>
  <c r="AN4" i="5"/>
  <c r="AD46" i="14"/>
  <c r="AB46" i="14"/>
  <c r="Z46" i="14"/>
  <c r="X46" i="14"/>
  <c r="V46" i="14"/>
  <c r="T46" i="14"/>
  <c r="R46" i="14"/>
  <c r="P46" i="14"/>
  <c r="N46" i="14"/>
  <c r="L46" i="14"/>
  <c r="J46" i="14"/>
  <c r="H46" i="14"/>
  <c r="F46" i="14"/>
  <c r="AD45" i="14"/>
  <c r="AB45" i="14"/>
  <c r="Z45" i="14"/>
  <c r="X45" i="14"/>
  <c r="V45" i="14"/>
  <c r="T45" i="14"/>
  <c r="R45" i="14"/>
  <c r="P45" i="14"/>
  <c r="N45" i="14"/>
  <c r="L45" i="14"/>
  <c r="J45" i="14"/>
  <c r="H45" i="14"/>
  <c r="F45" i="14"/>
  <c r="AD44" i="14"/>
  <c r="AB44" i="14"/>
  <c r="Z44" i="14"/>
  <c r="X44" i="14"/>
  <c r="V44" i="14"/>
  <c r="T44" i="14"/>
  <c r="R44" i="14"/>
  <c r="P44" i="14"/>
  <c r="N44" i="14"/>
  <c r="L44" i="14"/>
  <c r="J44" i="14"/>
  <c r="H44" i="14"/>
  <c r="F44" i="14"/>
  <c r="AD43" i="14"/>
  <c r="AB43" i="14"/>
  <c r="Z43" i="14"/>
  <c r="X43" i="14"/>
  <c r="V43" i="14"/>
  <c r="T43" i="14"/>
  <c r="R43" i="14"/>
  <c r="P43" i="14"/>
  <c r="N43" i="14"/>
  <c r="L43" i="14"/>
  <c r="J43" i="14"/>
  <c r="H43" i="14"/>
  <c r="F43" i="14"/>
  <c r="AD42" i="14"/>
  <c r="AB42" i="14"/>
  <c r="Z42" i="14"/>
  <c r="X42" i="14"/>
  <c r="V42" i="14"/>
  <c r="T42" i="14"/>
  <c r="R42" i="14"/>
  <c r="P42" i="14"/>
  <c r="N42" i="14"/>
  <c r="L42" i="14"/>
  <c r="J42" i="14"/>
  <c r="H42" i="14"/>
  <c r="F42" i="14"/>
  <c r="AD41" i="14"/>
  <c r="AB41" i="14"/>
  <c r="Z41" i="14"/>
  <c r="X41" i="14"/>
  <c r="V41" i="14"/>
  <c r="T41" i="14"/>
  <c r="R41" i="14"/>
  <c r="P41" i="14"/>
  <c r="N41" i="14"/>
  <c r="L41" i="14"/>
  <c r="J41" i="14"/>
  <c r="H41" i="14"/>
  <c r="F41" i="14"/>
  <c r="AD40" i="14"/>
  <c r="AB40" i="14"/>
  <c r="Z40" i="14"/>
  <c r="X40" i="14"/>
  <c r="V40" i="14"/>
  <c r="T40" i="14"/>
  <c r="R40" i="14"/>
  <c r="P40" i="14"/>
  <c r="N40" i="14"/>
  <c r="L40" i="14"/>
  <c r="J40" i="14"/>
  <c r="H40" i="14"/>
  <c r="F40" i="14"/>
  <c r="AD39" i="14"/>
  <c r="AB39" i="14"/>
  <c r="Z39" i="14"/>
  <c r="X39" i="14"/>
  <c r="V39" i="14"/>
  <c r="T39" i="14"/>
  <c r="R39" i="14"/>
  <c r="P39" i="14"/>
  <c r="N39" i="14"/>
  <c r="L39" i="14"/>
  <c r="J39" i="14"/>
  <c r="H39" i="14"/>
  <c r="F39" i="14"/>
  <c r="AD38" i="14"/>
  <c r="AB38" i="14"/>
  <c r="Z38" i="14"/>
  <c r="X38" i="14"/>
  <c r="V38" i="14"/>
  <c r="T38" i="14"/>
  <c r="R38" i="14"/>
  <c r="P38" i="14"/>
  <c r="N38" i="14"/>
  <c r="L38" i="14"/>
  <c r="J38" i="14"/>
  <c r="H38" i="14"/>
  <c r="F38" i="14"/>
  <c r="AD37" i="14"/>
  <c r="AB37" i="14"/>
  <c r="Z37" i="14"/>
  <c r="X37" i="14"/>
  <c r="V37" i="14"/>
  <c r="T37" i="14"/>
  <c r="R37" i="14"/>
  <c r="P37" i="14"/>
  <c r="N37" i="14"/>
  <c r="L37" i="14"/>
  <c r="J37" i="14"/>
  <c r="H37" i="14"/>
  <c r="F37" i="14"/>
  <c r="AD36" i="14"/>
  <c r="AB36" i="14"/>
  <c r="Z36" i="14"/>
  <c r="X36" i="14"/>
  <c r="V36" i="14"/>
  <c r="T36" i="14"/>
  <c r="R36" i="14"/>
  <c r="P36" i="14"/>
  <c r="N36" i="14"/>
  <c r="L36" i="14"/>
  <c r="J36" i="14"/>
  <c r="H36" i="14"/>
  <c r="F36" i="14"/>
  <c r="AD35" i="14"/>
  <c r="AB35" i="14"/>
  <c r="Z35" i="14"/>
  <c r="X35" i="14"/>
  <c r="V35" i="14"/>
  <c r="T35" i="14"/>
  <c r="R35" i="14"/>
  <c r="P35" i="14"/>
  <c r="N35" i="14"/>
  <c r="L35" i="14"/>
  <c r="J35" i="14"/>
  <c r="H35" i="14"/>
  <c r="F35" i="14"/>
  <c r="AD33" i="14"/>
  <c r="AB33" i="14"/>
  <c r="Z33" i="14"/>
  <c r="X33" i="14"/>
  <c r="V33" i="14"/>
  <c r="T33" i="14"/>
  <c r="R33" i="14"/>
  <c r="P33" i="14"/>
  <c r="N33" i="14"/>
  <c r="L33" i="14"/>
  <c r="J33" i="14"/>
  <c r="H33" i="14"/>
  <c r="F33" i="14"/>
  <c r="AD32" i="14"/>
  <c r="AB32" i="14"/>
  <c r="Z32" i="14"/>
  <c r="X32" i="14"/>
  <c r="V32" i="14"/>
  <c r="T32" i="14"/>
  <c r="R32" i="14"/>
  <c r="P32" i="14"/>
  <c r="N32" i="14"/>
  <c r="L32" i="14"/>
  <c r="J32" i="14"/>
  <c r="H32" i="14"/>
  <c r="F32" i="14"/>
  <c r="AD31" i="14"/>
  <c r="AB31" i="14"/>
  <c r="Z31" i="14"/>
  <c r="X31" i="14"/>
  <c r="V31" i="14"/>
  <c r="T31" i="14"/>
  <c r="R31" i="14"/>
  <c r="P31" i="14"/>
  <c r="N31" i="14"/>
  <c r="L31" i="14"/>
  <c r="J31" i="14"/>
  <c r="H31" i="14"/>
  <c r="F31" i="14"/>
  <c r="AD30" i="14"/>
  <c r="AB30" i="14"/>
  <c r="Z30" i="14"/>
  <c r="X30" i="14"/>
  <c r="V30" i="14"/>
  <c r="T30" i="14"/>
  <c r="R30" i="14"/>
  <c r="P30" i="14"/>
  <c r="N30" i="14"/>
  <c r="L30" i="14"/>
  <c r="J30" i="14"/>
  <c r="H30" i="14"/>
  <c r="F30" i="14"/>
  <c r="AD29" i="14"/>
  <c r="AB29" i="14"/>
  <c r="Z29" i="14"/>
  <c r="X29" i="14"/>
  <c r="V29" i="14"/>
  <c r="T29" i="14"/>
  <c r="R29" i="14"/>
  <c r="P29" i="14"/>
  <c r="N29" i="14"/>
  <c r="L29" i="14"/>
  <c r="J29" i="14"/>
  <c r="H29" i="14"/>
  <c r="F29" i="14"/>
  <c r="AD28" i="14"/>
  <c r="AB28" i="14"/>
  <c r="Z28" i="14"/>
  <c r="X28" i="14"/>
  <c r="V28" i="14"/>
  <c r="T28" i="14"/>
  <c r="R28" i="14"/>
  <c r="P28" i="14"/>
  <c r="N28" i="14"/>
  <c r="L28" i="14"/>
  <c r="J28" i="14"/>
  <c r="H28" i="14"/>
  <c r="F28" i="14"/>
  <c r="AD27" i="14"/>
  <c r="AB27" i="14"/>
  <c r="Z27" i="14"/>
  <c r="X27" i="14"/>
  <c r="V27" i="14"/>
  <c r="T27" i="14"/>
  <c r="R27" i="14"/>
  <c r="P27" i="14"/>
  <c r="N27" i="14"/>
  <c r="L27" i="14"/>
  <c r="J27" i="14"/>
  <c r="H27" i="14"/>
  <c r="F27" i="14"/>
  <c r="AD26" i="14"/>
  <c r="AB26" i="14"/>
  <c r="Z26" i="14"/>
  <c r="X26" i="14"/>
  <c r="V26" i="14"/>
  <c r="T26" i="14"/>
  <c r="R26" i="14"/>
  <c r="P26" i="14"/>
  <c r="N26" i="14"/>
  <c r="L26" i="14"/>
  <c r="J26" i="14"/>
  <c r="H26" i="14"/>
  <c r="F26" i="14"/>
  <c r="AD25" i="14"/>
  <c r="AB25" i="14"/>
  <c r="Z25" i="14"/>
  <c r="X25" i="14"/>
  <c r="V25" i="14"/>
  <c r="T25" i="14"/>
  <c r="R25" i="14"/>
  <c r="P25" i="14"/>
  <c r="N25" i="14"/>
  <c r="L25" i="14"/>
  <c r="J25" i="14"/>
  <c r="H25" i="14"/>
  <c r="F25" i="14"/>
  <c r="AD24" i="14"/>
  <c r="AB24" i="14"/>
  <c r="Z24" i="14"/>
  <c r="X24" i="14"/>
  <c r="V24" i="14"/>
  <c r="T24" i="14"/>
  <c r="R24" i="14"/>
  <c r="P24" i="14"/>
  <c r="N24" i="14"/>
  <c r="L24" i="14"/>
  <c r="J24" i="14"/>
  <c r="H24" i="14"/>
  <c r="F24" i="14"/>
  <c r="AD23" i="14"/>
  <c r="AB23" i="14"/>
  <c r="Z23" i="14"/>
  <c r="X23" i="14"/>
  <c r="V23" i="14"/>
  <c r="T23" i="14"/>
  <c r="R23" i="14"/>
  <c r="P23" i="14"/>
  <c r="N23" i="14"/>
  <c r="L23" i="14"/>
  <c r="J23" i="14"/>
  <c r="H23" i="14"/>
  <c r="F23" i="14"/>
  <c r="AD22" i="14"/>
  <c r="AB22" i="14"/>
  <c r="Z22" i="14"/>
  <c r="X22" i="14"/>
  <c r="V22" i="14"/>
  <c r="T22" i="14"/>
  <c r="R22" i="14"/>
  <c r="P22" i="14"/>
  <c r="N22" i="14"/>
  <c r="L22" i="14"/>
  <c r="J22" i="14"/>
  <c r="H22" i="14"/>
  <c r="F22" i="14"/>
  <c r="AD20" i="14"/>
  <c r="AB20" i="14"/>
  <c r="Z20" i="14"/>
  <c r="X20" i="14"/>
  <c r="V20" i="14"/>
  <c r="T20" i="14"/>
  <c r="R20" i="14"/>
  <c r="P20" i="14"/>
  <c r="N20" i="14"/>
  <c r="L20" i="14"/>
  <c r="J20" i="14"/>
  <c r="H20" i="14"/>
  <c r="F20" i="14"/>
  <c r="AD19" i="14"/>
  <c r="AB19" i="14"/>
  <c r="Z19" i="14"/>
  <c r="X19" i="14"/>
  <c r="V19" i="14"/>
  <c r="T19" i="14"/>
  <c r="R19" i="14"/>
  <c r="P19" i="14"/>
  <c r="N19" i="14"/>
  <c r="L19" i="14"/>
  <c r="J19" i="14"/>
  <c r="H19" i="14"/>
  <c r="F19" i="14"/>
  <c r="AD18" i="14"/>
  <c r="AB18" i="14"/>
  <c r="Z18" i="14"/>
  <c r="X18" i="14"/>
  <c r="V18" i="14"/>
  <c r="T18" i="14"/>
  <c r="R18" i="14"/>
  <c r="P18" i="14"/>
  <c r="N18" i="14"/>
  <c r="L18" i="14"/>
  <c r="J18" i="14"/>
  <c r="H18" i="14"/>
  <c r="F18" i="14"/>
  <c r="AD17" i="14"/>
  <c r="AB17" i="14"/>
  <c r="Z17" i="14"/>
  <c r="X17" i="14"/>
  <c r="V17" i="14"/>
  <c r="T17" i="14"/>
  <c r="R17" i="14"/>
  <c r="P17" i="14"/>
  <c r="N17" i="14"/>
  <c r="L17" i="14"/>
  <c r="J17" i="14"/>
  <c r="H17" i="14"/>
  <c r="F17" i="14"/>
  <c r="AD16" i="14"/>
  <c r="AB16" i="14"/>
  <c r="Z16" i="14"/>
  <c r="X16" i="14"/>
  <c r="V16" i="14"/>
  <c r="T16" i="14"/>
  <c r="R16" i="14"/>
  <c r="P16" i="14"/>
  <c r="N16" i="14"/>
  <c r="L16" i="14"/>
  <c r="J16" i="14"/>
  <c r="H16" i="14"/>
  <c r="F16" i="14"/>
  <c r="AD15" i="14"/>
  <c r="AB15" i="14"/>
  <c r="Z15" i="14"/>
  <c r="X15" i="14"/>
  <c r="V15" i="14"/>
  <c r="T15" i="14"/>
  <c r="R15" i="14"/>
  <c r="P15" i="14"/>
  <c r="N15" i="14"/>
  <c r="L15" i="14"/>
  <c r="J15" i="14"/>
  <c r="H15" i="14"/>
  <c r="F15" i="14"/>
  <c r="AD14" i="14"/>
  <c r="AB14" i="14"/>
  <c r="Z14" i="14"/>
  <c r="X14" i="14"/>
  <c r="V14" i="14"/>
  <c r="T14" i="14"/>
  <c r="R14" i="14"/>
  <c r="P14" i="14"/>
  <c r="N14" i="14"/>
  <c r="L14" i="14"/>
  <c r="J14" i="14"/>
  <c r="H14" i="14"/>
  <c r="F14" i="14"/>
  <c r="AD13" i="14"/>
  <c r="AB13" i="14"/>
  <c r="Z13" i="14"/>
  <c r="X13" i="14"/>
  <c r="V13" i="14"/>
  <c r="T13" i="14"/>
  <c r="R13" i="14"/>
  <c r="P13" i="14"/>
  <c r="N13" i="14"/>
  <c r="L13" i="14"/>
  <c r="J13" i="14"/>
  <c r="H13" i="14"/>
  <c r="F13" i="14"/>
  <c r="AD12" i="14"/>
  <c r="AB12" i="14"/>
  <c r="Z12" i="14"/>
  <c r="X12" i="14"/>
  <c r="V12" i="14"/>
  <c r="T12" i="14"/>
  <c r="R12" i="14"/>
  <c r="P12" i="14"/>
  <c r="N12" i="14"/>
  <c r="L12" i="14"/>
  <c r="J12" i="14"/>
  <c r="H12" i="14"/>
  <c r="F12" i="14"/>
  <c r="AD11" i="14"/>
  <c r="AB11" i="14"/>
  <c r="Z11" i="14"/>
  <c r="X11" i="14"/>
  <c r="V11" i="14"/>
  <c r="T11" i="14"/>
  <c r="R11" i="14"/>
  <c r="P11" i="14"/>
  <c r="N11" i="14"/>
  <c r="L11" i="14"/>
  <c r="J11" i="14"/>
  <c r="H11" i="14"/>
  <c r="F11" i="14"/>
  <c r="AD10" i="14"/>
  <c r="AB10" i="14"/>
  <c r="Z10" i="14"/>
  <c r="X10" i="14"/>
  <c r="V10" i="14"/>
  <c r="T10" i="14"/>
  <c r="R10" i="14"/>
  <c r="P10" i="14"/>
  <c r="N10" i="14"/>
  <c r="L10" i="14"/>
  <c r="J10" i="14"/>
  <c r="H10" i="14"/>
  <c r="F10" i="14"/>
  <c r="AD9" i="14"/>
  <c r="AB9" i="14"/>
  <c r="Z9" i="14"/>
  <c r="X9" i="14"/>
  <c r="V9" i="14"/>
  <c r="T9" i="14"/>
  <c r="R9" i="14"/>
  <c r="P9" i="14"/>
  <c r="N9" i="14"/>
  <c r="L9" i="14"/>
  <c r="J9" i="14"/>
  <c r="H9" i="14"/>
  <c r="F9" i="14"/>
  <c r="D51" i="5" l="1"/>
  <c r="D52" i="5"/>
  <c r="D53" i="5"/>
  <c r="D54" i="5"/>
  <c r="D55" i="5"/>
  <c r="D56" i="5"/>
  <c r="D57" i="5"/>
  <c r="D58" i="5"/>
  <c r="D59" i="5"/>
  <c r="D60" i="5"/>
  <c r="D61" i="5"/>
  <c r="D62" i="5"/>
  <c r="D50" i="5"/>
  <c r="E129" i="5"/>
  <c r="E96" i="5"/>
  <c r="E97" i="5"/>
  <c r="E98" i="5"/>
  <c r="E99" i="5"/>
  <c r="E100" i="5"/>
  <c r="E101" i="5"/>
  <c r="E102" i="5"/>
  <c r="E103" i="5"/>
  <c r="E104" i="5"/>
  <c r="E105" i="5"/>
  <c r="E106" i="5"/>
  <c r="E107" i="5"/>
  <c r="E108" i="5"/>
  <c r="T140" i="5" l="1"/>
  <c r="T139" i="5"/>
  <c r="T138" i="5"/>
  <c r="T137" i="5"/>
  <c r="T136" i="5"/>
  <c r="T135" i="5"/>
  <c r="T134" i="5"/>
  <c r="T133" i="5"/>
  <c r="T132" i="5"/>
  <c r="T131" i="5"/>
  <c r="T130" i="5"/>
  <c r="T129" i="5"/>
  <c r="R140" i="5"/>
  <c r="R139" i="5"/>
  <c r="R138" i="5"/>
  <c r="R137" i="5"/>
  <c r="R136" i="5"/>
  <c r="R135" i="5"/>
  <c r="R134" i="5"/>
  <c r="R133" i="5"/>
  <c r="R132" i="5"/>
  <c r="R131" i="5"/>
  <c r="R130" i="5"/>
  <c r="R129" i="5"/>
  <c r="P140" i="5"/>
  <c r="P139" i="5"/>
  <c r="P138" i="5"/>
  <c r="P137" i="5"/>
  <c r="P136" i="5"/>
  <c r="P135" i="5"/>
  <c r="P134" i="5"/>
  <c r="P133" i="5"/>
  <c r="P132" i="5"/>
  <c r="P131" i="5"/>
  <c r="P130" i="5"/>
  <c r="P129" i="5"/>
  <c r="N140" i="5"/>
  <c r="N139" i="5"/>
  <c r="N138" i="5"/>
  <c r="N137" i="5"/>
  <c r="N136" i="5"/>
  <c r="N135" i="5"/>
  <c r="N134" i="5"/>
  <c r="N133" i="5"/>
  <c r="N132" i="5"/>
  <c r="N131" i="5"/>
  <c r="N130" i="5"/>
  <c r="N129" i="5"/>
  <c r="L140" i="5"/>
  <c r="L139" i="5"/>
  <c r="L138" i="5"/>
  <c r="L137" i="5"/>
  <c r="L136" i="5"/>
  <c r="L135" i="5"/>
  <c r="L134" i="5"/>
  <c r="L133" i="5"/>
  <c r="L132" i="5"/>
  <c r="L131" i="5"/>
  <c r="L130" i="5"/>
  <c r="L129" i="5"/>
  <c r="J140" i="5"/>
  <c r="J139" i="5"/>
  <c r="J138" i="5"/>
  <c r="J137" i="5"/>
  <c r="J136" i="5"/>
  <c r="J135" i="5"/>
  <c r="J134" i="5"/>
  <c r="J133" i="5"/>
  <c r="J132" i="5"/>
  <c r="J131" i="5"/>
  <c r="J130" i="5"/>
  <c r="J129" i="5"/>
  <c r="T98" i="5"/>
  <c r="T99" i="5"/>
  <c r="T100" i="5"/>
  <c r="T101" i="5"/>
  <c r="T102" i="5"/>
  <c r="T103" i="5"/>
  <c r="T104" i="5"/>
  <c r="T105" i="5"/>
  <c r="T106" i="5"/>
  <c r="T107" i="5"/>
  <c r="T108" i="5"/>
  <c r="T97" i="5"/>
  <c r="T67" i="5"/>
  <c r="T68" i="5"/>
  <c r="T69" i="5"/>
  <c r="T70" i="5"/>
  <c r="T71" i="5"/>
  <c r="T72" i="5"/>
  <c r="T73" i="5"/>
  <c r="T74" i="5"/>
  <c r="T75" i="5"/>
  <c r="T76" i="5"/>
  <c r="T77" i="5"/>
  <c r="T66" i="5"/>
  <c r="R67" i="5"/>
  <c r="R68" i="5"/>
  <c r="R69" i="5"/>
  <c r="R70" i="5"/>
  <c r="R71" i="5"/>
  <c r="R72" i="5"/>
  <c r="R73" i="5"/>
  <c r="R74" i="5"/>
  <c r="R75" i="5"/>
  <c r="R76" i="5"/>
  <c r="R77" i="5"/>
  <c r="R66" i="5"/>
  <c r="P67" i="5"/>
  <c r="P68" i="5"/>
  <c r="P69" i="5"/>
  <c r="P70" i="5"/>
  <c r="P71" i="5"/>
  <c r="P72" i="5"/>
  <c r="P73" i="5"/>
  <c r="P74" i="5"/>
  <c r="P75" i="5"/>
  <c r="P76" i="5"/>
  <c r="P77" i="5"/>
  <c r="P66" i="5"/>
  <c r="L67" i="5"/>
  <c r="L68" i="5"/>
  <c r="L69" i="5"/>
  <c r="L70" i="5"/>
  <c r="L71" i="5"/>
  <c r="L72" i="5"/>
  <c r="L73" i="5"/>
  <c r="L74" i="5"/>
  <c r="L75" i="5"/>
  <c r="L76" i="5"/>
  <c r="L77" i="5"/>
  <c r="L66" i="5"/>
  <c r="G129" i="5"/>
  <c r="G130" i="5"/>
  <c r="G131" i="5"/>
  <c r="G132" i="5"/>
  <c r="G133" i="5"/>
  <c r="G134" i="5"/>
  <c r="G135" i="5"/>
  <c r="G136" i="5"/>
  <c r="G137" i="5"/>
  <c r="G138" i="5"/>
  <c r="G139" i="5"/>
  <c r="G140" i="5"/>
  <c r="G128" i="5"/>
  <c r="E140" i="5"/>
  <c r="E130" i="5"/>
  <c r="E131" i="5"/>
  <c r="E132" i="5"/>
  <c r="E133" i="5"/>
  <c r="E134" i="5"/>
  <c r="E135" i="5"/>
  <c r="E136" i="5"/>
  <c r="E137" i="5"/>
  <c r="E138" i="5"/>
  <c r="E139" i="5"/>
  <c r="E128" i="5"/>
  <c r="C129" i="5"/>
  <c r="C130" i="5"/>
  <c r="C131" i="5"/>
  <c r="C132" i="5"/>
  <c r="C133" i="5"/>
  <c r="C134" i="5"/>
  <c r="C135" i="5"/>
  <c r="C136" i="5"/>
  <c r="C137" i="5"/>
  <c r="C138" i="5"/>
  <c r="C139" i="5"/>
  <c r="C140" i="5"/>
  <c r="C128" i="5"/>
  <c r="Q97" i="5"/>
  <c r="Q98" i="5"/>
  <c r="Q99" i="5"/>
  <c r="Q100" i="5"/>
  <c r="Q101" i="5"/>
  <c r="Q102" i="5"/>
  <c r="Q103" i="5"/>
  <c r="Q104" i="5"/>
  <c r="Q105" i="5"/>
  <c r="Q106" i="5"/>
  <c r="Q107" i="5"/>
  <c r="Q108" i="5"/>
  <c r="Q96" i="5"/>
  <c r="O97" i="5"/>
  <c r="O98" i="5"/>
  <c r="O99" i="5"/>
  <c r="O100" i="5"/>
  <c r="O101" i="5"/>
  <c r="O102" i="5"/>
  <c r="O103" i="5"/>
  <c r="O104" i="5"/>
  <c r="O105" i="5"/>
  <c r="O106" i="5"/>
  <c r="O107" i="5"/>
  <c r="O108" i="5"/>
  <c r="O96" i="5"/>
  <c r="M97" i="5"/>
  <c r="M98" i="5"/>
  <c r="M99" i="5"/>
  <c r="M100" i="5"/>
  <c r="M101" i="5"/>
  <c r="M102" i="5"/>
  <c r="M103" i="5"/>
  <c r="M104" i="5"/>
  <c r="M105" i="5"/>
  <c r="M106" i="5"/>
  <c r="M107" i="5"/>
  <c r="M108" i="5"/>
  <c r="M96" i="5"/>
  <c r="K97" i="5"/>
  <c r="K98" i="5"/>
  <c r="K99" i="5"/>
  <c r="K100" i="5"/>
  <c r="K101" i="5"/>
  <c r="K102" i="5"/>
  <c r="K103" i="5"/>
  <c r="K104" i="5"/>
  <c r="K105" i="5"/>
  <c r="K106" i="5"/>
  <c r="K107" i="5"/>
  <c r="K108" i="5"/>
  <c r="K96" i="5"/>
  <c r="I97" i="5"/>
  <c r="I98" i="5"/>
  <c r="I99" i="5"/>
  <c r="I100" i="5"/>
  <c r="I101" i="5"/>
  <c r="I102" i="5"/>
  <c r="I103" i="5"/>
  <c r="I104" i="5"/>
  <c r="I105" i="5"/>
  <c r="I106" i="5"/>
  <c r="I107" i="5"/>
  <c r="I108" i="5"/>
  <c r="I96" i="5"/>
  <c r="G108" i="5"/>
  <c r="G107" i="5"/>
  <c r="G106" i="5"/>
  <c r="G105" i="5"/>
  <c r="G104" i="5"/>
  <c r="G103" i="5"/>
  <c r="G102" i="5"/>
  <c r="G101" i="5"/>
  <c r="G100" i="5"/>
  <c r="G99" i="5"/>
  <c r="G98" i="5"/>
  <c r="G97" i="5"/>
  <c r="G96" i="5"/>
  <c r="C97" i="5"/>
  <c r="C98" i="5"/>
  <c r="C99" i="5"/>
  <c r="C100" i="5"/>
  <c r="C101" i="5"/>
  <c r="C102" i="5"/>
  <c r="C103" i="5"/>
  <c r="C104" i="5"/>
  <c r="C105" i="5"/>
  <c r="C106" i="5"/>
  <c r="C107" i="5"/>
  <c r="C108" i="5"/>
  <c r="C96" i="5"/>
  <c r="M66" i="5"/>
  <c r="M67" i="5"/>
  <c r="M68" i="5"/>
  <c r="M69" i="5"/>
  <c r="M70" i="5"/>
  <c r="M71" i="5"/>
  <c r="M72" i="5"/>
  <c r="M73" i="5"/>
  <c r="M74" i="5"/>
  <c r="M75" i="5"/>
  <c r="M76" i="5"/>
  <c r="M77" i="5"/>
  <c r="M65" i="5"/>
  <c r="I66" i="5"/>
  <c r="I67" i="5"/>
  <c r="I68" i="5"/>
  <c r="I69" i="5"/>
  <c r="I70" i="5"/>
  <c r="I71" i="5"/>
  <c r="I72" i="5"/>
  <c r="I73" i="5"/>
  <c r="I74" i="5"/>
  <c r="I75" i="5"/>
  <c r="I76" i="5"/>
  <c r="I77" i="5"/>
  <c r="I65" i="5"/>
  <c r="G65" i="5"/>
  <c r="G66" i="5"/>
  <c r="G67" i="5"/>
  <c r="G68" i="5"/>
  <c r="G69" i="5"/>
  <c r="G70" i="5"/>
  <c r="G71" i="5"/>
  <c r="G72" i="5"/>
  <c r="G73" i="5"/>
  <c r="G74" i="5"/>
  <c r="G75" i="5"/>
  <c r="G76" i="5"/>
  <c r="G77" i="5"/>
  <c r="E77" i="5"/>
  <c r="E66" i="5"/>
  <c r="E67" i="5"/>
  <c r="E68" i="5"/>
  <c r="E69" i="5"/>
  <c r="E70" i="5"/>
  <c r="E71" i="5"/>
  <c r="E72" i="5"/>
  <c r="E73" i="5"/>
  <c r="E74" i="5"/>
  <c r="E75" i="5"/>
  <c r="E76" i="5"/>
  <c r="E65" i="5"/>
  <c r="C66" i="5"/>
  <c r="C67" i="5"/>
  <c r="C68" i="5"/>
  <c r="C69" i="5"/>
  <c r="C70" i="5"/>
  <c r="C71" i="5"/>
  <c r="C72" i="5"/>
  <c r="C73" i="5"/>
  <c r="C74" i="5"/>
  <c r="C75" i="5"/>
  <c r="C76" i="5"/>
  <c r="C77" i="5"/>
  <c r="C65" i="5"/>
  <c r="E29" i="5"/>
  <c r="D29" i="5"/>
  <c r="C29" i="5"/>
  <c r="H77" i="5" l="1"/>
  <c r="H130" i="5"/>
  <c r="F76" i="5"/>
  <c r="R107" i="5"/>
  <c r="P98" i="5"/>
  <c r="D140" i="5"/>
  <c r="H134" i="5"/>
  <c r="N103" i="5"/>
  <c r="F138" i="5"/>
  <c r="H136" i="5"/>
  <c r="J75" i="5"/>
  <c r="D76" i="5"/>
  <c r="F72" i="5"/>
  <c r="H69" i="5"/>
  <c r="J67" i="5"/>
  <c r="D108" i="5"/>
  <c r="F105" i="5"/>
  <c r="J99" i="5"/>
  <c r="P106" i="5"/>
  <c r="R103" i="5"/>
  <c r="J73" i="5"/>
  <c r="D74" i="5"/>
  <c r="F70" i="5"/>
  <c r="H67" i="5"/>
  <c r="D106" i="5"/>
  <c r="F103" i="5"/>
  <c r="N107" i="5"/>
  <c r="P104" i="5"/>
  <c r="R101" i="5"/>
  <c r="D132" i="5"/>
  <c r="N70" i="5"/>
  <c r="D98" i="5"/>
  <c r="J105" i="5"/>
  <c r="L102" i="5"/>
  <c r="F134" i="5"/>
  <c r="D130" i="5"/>
  <c r="D75" i="5"/>
  <c r="H140" i="5"/>
  <c r="H132" i="5"/>
  <c r="F71" i="5"/>
  <c r="H73" i="5"/>
  <c r="J103" i="5"/>
  <c r="L100" i="5"/>
  <c r="D134" i="5"/>
  <c r="N68" i="5"/>
  <c r="D136" i="5"/>
  <c r="F75" i="5"/>
  <c r="H72" i="5"/>
  <c r="J70" i="5"/>
  <c r="N67" i="5"/>
  <c r="F108" i="5"/>
  <c r="J102" i="5"/>
  <c r="L99" i="5"/>
  <c r="R106" i="5"/>
  <c r="D135" i="5"/>
  <c r="F131" i="5"/>
  <c r="D67" i="5"/>
  <c r="H76" i="5"/>
  <c r="J74" i="5"/>
  <c r="N71" i="5"/>
  <c r="D99" i="5"/>
  <c r="N100" i="5"/>
  <c r="D139" i="5"/>
  <c r="F135" i="5"/>
  <c r="D133" i="5"/>
  <c r="N97" i="5"/>
  <c r="D77" i="5"/>
  <c r="F73" i="5"/>
  <c r="H70" i="5"/>
  <c r="J68" i="5"/>
  <c r="F106" i="5"/>
  <c r="J100" i="5"/>
  <c r="L97" i="5"/>
  <c r="P107" i="5"/>
  <c r="R104" i="5"/>
  <c r="F129" i="5"/>
  <c r="N77" i="5"/>
  <c r="D105" i="5"/>
  <c r="F102" i="5"/>
  <c r="N106" i="5"/>
  <c r="P103" i="5"/>
  <c r="R100" i="5"/>
  <c r="H129" i="5"/>
  <c r="F74" i="5"/>
  <c r="H71" i="5"/>
  <c r="J69" i="5"/>
  <c r="N66" i="5"/>
  <c r="F107" i="5"/>
  <c r="J101" i="5"/>
  <c r="L98" i="5"/>
  <c r="P108" i="5"/>
  <c r="R105" i="5"/>
  <c r="F130" i="5"/>
  <c r="J66" i="5"/>
  <c r="D73" i="5"/>
  <c r="F69" i="5"/>
  <c r="H66" i="5"/>
  <c r="F140" i="5"/>
  <c r="D72" i="5"/>
  <c r="F68" i="5"/>
  <c r="N76" i="5"/>
  <c r="D104" i="5"/>
  <c r="F101" i="5"/>
  <c r="L108" i="5"/>
  <c r="N105" i="5"/>
  <c r="P102" i="5"/>
  <c r="R99" i="5"/>
  <c r="H138" i="5"/>
  <c r="L105" i="5"/>
  <c r="D129" i="5"/>
  <c r="D101" i="5"/>
  <c r="N102" i="5"/>
  <c r="J97" i="5"/>
  <c r="D71" i="5"/>
  <c r="F67" i="5"/>
  <c r="N75" i="5"/>
  <c r="D103" i="5"/>
  <c r="F100" i="5"/>
  <c r="L107" i="5"/>
  <c r="N104" i="5"/>
  <c r="P101" i="5"/>
  <c r="R98" i="5"/>
  <c r="F139" i="5"/>
  <c r="D70" i="5"/>
  <c r="J77" i="5"/>
  <c r="N74" i="5"/>
  <c r="D102" i="5"/>
  <c r="F99" i="5"/>
  <c r="L106" i="5"/>
  <c r="P100" i="5"/>
  <c r="H97" i="5"/>
  <c r="H98" i="5"/>
  <c r="H139" i="5"/>
  <c r="N101" i="5"/>
  <c r="P97" i="5"/>
  <c r="J76" i="5"/>
  <c r="H104" i="5"/>
  <c r="D100" i="5"/>
  <c r="F66" i="5"/>
  <c r="R97" i="5"/>
  <c r="J72" i="5"/>
  <c r="F97" i="5"/>
  <c r="H99" i="5"/>
  <c r="F133" i="5"/>
  <c r="D66" i="5"/>
  <c r="D69" i="5"/>
  <c r="N73" i="5"/>
  <c r="F98" i="5"/>
  <c r="J108" i="5"/>
  <c r="P99" i="5"/>
  <c r="F137" i="5"/>
  <c r="H135" i="5"/>
  <c r="H101" i="5"/>
  <c r="H137" i="5"/>
  <c r="H107" i="5"/>
  <c r="D68" i="5"/>
  <c r="N72" i="5"/>
  <c r="J107" i="5"/>
  <c r="L104" i="5"/>
  <c r="F136" i="5"/>
  <c r="H100" i="5"/>
  <c r="L101" i="5"/>
  <c r="H105" i="5"/>
  <c r="H106" i="5"/>
  <c r="H108" i="5"/>
  <c r="F77" i="5"/>
  <c r="J106" i="5"/>
  <c r="L103" i="5"/>
  <c r="H133" i="5"/>
  <c r="H102" i="5"/>
  <c r="H74" i="5"/>
  <c r="D97" i="5"/>
  <c r="N98" i="5"/>
  <c r="D137" i="5"/>
  <c r="H131" i="5"/>
  <c r="N69" i="5"/>
  <c r="R102" i="5"/>
  <c r="F132" i="5"/>
  <c r="P105" i="5"/>
  <c r="N108" i="5"/>
  <c r="H103" i="5"/>
  <c r="H75" i="5"/>
  <c r="J71" i="5"/>
  <c r="J98" i="5"/>
  <c r="D138" i="5"/>
  <c r="J104" i="5"/>
  <c r="F104" i="5"/>
  <c r="D107" i="5"/>
  <c r="R108" i="5"/>
  <c r="H68" i="5"/>
  <c r="N99" i="5"/>
  <c r="D13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ABCFAF-9679-43CF-A543-95F659BB2DD0}" keepAlive="1" name="Query - All_India_Index_Upto_April23 (1)" description="Connection to the 'All_India_Index_Upto_April23 (1)' query in the workbook." type="5" refreshedVersion="8" background="1" saveData="1">
    <dbPr connection="Provider=Microsoft.Mashup.OleDb.1;Data Source=$Workbook$;Location=&quot;All_India_Index_Upto_April23 (1)&quot;;Extended Properties=&quot;&quot;" command="SELECT * FROM [All_India_Index_Upto_April23 (1)]"/>
  </connection>
</connections>
</file>

<file path=xl/sharedStrings.xml><?xml version="1.0" encoding="utf-8"?>
<sst xmlns="http://schemas.openxmlformats.org/spreadsheetml/2006/main" count="3513" uniqueCount="264">
  <si>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</si>
  <si>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</si>
  <si>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</si>
  <si>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</si>
  <si>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</si>
  <si>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</si>
  <si>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</si>
  <si>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</si>
  <si>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</si>
  <si>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</si>
  <si>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</si>
  <si>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</si>
  <si>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</si>
  <si>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</si>
  <si>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</si>
  <si>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</si>
  <si>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</si>
  <si>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</si>
  <si>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</si>
  <si>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</si>
  <si>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</si>
  <si>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</si>
  <si>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</si>
  <si>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</si>
  <si>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</si>
  <si>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</si>
  <si>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</si>
  <si>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</si>
  <si>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</si>
  <si>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</si>
  <si>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</si>
  <si>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</si>
  <si>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</si>
  <si>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</si>
  <si>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100.3</t>
  </si>
  <si>
    <t>Rural+Urban</t>
  </si>
  <si>
    <t>February</t>
  </si>
  <si>
    <t>100.4</t>
  </si>
  <si>
    <t>March</t>
  </si>
  <si>
    <t>April</t>
  </si>
  <si>
    <t>100.5</t>
  </si>
  <si>
    <t>May</t>
  </si>
  <si>
    <t>June</t>
  </si>
  <si>
    <t>106.6</t>
  </si>
  <si>
    <t>July</t>
  </si>
  <si>
    <t>107.7</t>
  </si>
  <si>
    <t>August</t>
  </si>
  <si>
    <t>108.9</t>
  </si>
  <si>
    <t>September</t>
  </si>
  <si>
    <t>109.7</t>
  </si>
  <si>
    <t>October</t>
  </si>
  <si>
    <t>110.5</t>
  </si>
  <si>
    <t xml:space="preserve">November </t>
  </si>
  <si>
    <t>November</t>
  </si>
  <si>
    <t>111.1</t>
  </si>
  <si>
    <t>December</t>
  </si>
  <si>
    <t>110.7</t>
  </si>
  <si>
    <t>111.6</t>
  </si>
  <si>
    <t>112.5</t>
  </si>
  <si>
    <t>113.2</t>
  </si>
  <si>
    <t>Marcrh</t>
  </si>
  <si>
    <t>113.9</t>
  </si>
  <si>
    <t>114.3</t>
  </si>
  <si>
    <t>114.8</t>
  </si>
  <si>
    <t>115.5</t>
  </si>
  <si>
    <t>116.1</t>
  </si>
  <si>
    <t>116.7</t>
  </si>
  <si>
    <t>117.1</t>
  </si>
  <si>
    <t>116.5</t>
  </si>
  <si>
    <t>117.3</t>
  </si>
  <si>
    <t>118.1</t>
  </si>
  <si>
    <t>118.6</t>
  </si>
  <si>
    <t>119.2</t>
  </si>
  <si>
    <t>119.6</t>
  </si>
  <si>
    <t>119</t>
  </si>
  <si>
    <t>119.9</t>
  </si>
  <si>
    <t>120.9</t>
  </si>
  <si>
    <t>121.6</t>
  </si>
  <si>
    <t>122.4</t>
  </si>
  <si>
    <t>122.9</t>
  </si>
  <si>
    <t>123.4</t>
  </si>
  <si>
    <t>124.4</t>
  </si>
  <si>
    <t>124.9</t>
  </si>
  <si>
    <t>125.6</t>
  </si>
  <si>
    <t>126</t>
  </si>
  <si>
    <t>125.5</t>
  </si>
  <si>
    <t>126.4</t>
  </si>
  <si>
    <t>127.3</t>
  </si>
  <si>
    <t>127.9</t>
  </si>
  <si>
    <t>128.7</t>
  </si>
  <si>
    <t>129.1</t>
  </si>
  <si>
    <t>128.5</t>
  </si>
  <si>
    <t>129.6</t>
  </si>
  <si>
    <t>130.5</t>
  </si>
  <si>
    <t>131.1</t>
  </si>
  <si>
    <t>131.7</t>
  </si>
  <si>
    <t>132.1</t>
  </si>
  <si>
    <t>131.4</t>
  </si>
  <si>
    <t>132.6</t>
  </si>
  <si>
    <t>134.4</t>
  </si>
  <si>
    <t>135.7</t>
  </si>
  <si>
    <t>137.3</t>
  </si>
  <si>
    <t>138.6</t>
  </si>
  <si>
    <t>139.1</t>
  </si>
  <si>
    <t>140.4</t>
  </si>
  <si>
    <t>141.3</t>
  </si>
  <si>
    <t>142</t>
  </si>
  <si>
    <t>142.9</t>
  </si>
  <si>
    <t>143.2</t>
  </si>
  <si>
    <t>142.5</t>
  </si>
  <si>
    <t>143.6</t>
  </si>
  <si>
    <t>144.6</t>
  </si>
  <si>
    <t>145.3</t>
  </si>
  <si>
    <t>146.3</t>
  </si>
  <si>
    <t>146.9</t>
  </si>
  <si>
    <t>146.5</t>
  </si>
  <si>
    <t>147.7</t>
  </si>
  <si>
    <t>148.5</t>
  </si>
  <si>
    <t>149</t>
  </si>
  <si>
    <t>150.1</t>
  </si>
  <si>
    <t>149.4</t>
  </si>
  <si>
    <t>150.6</t>
  </si>
  <si>
    <t>151.6</t>
  </si>
  <si>
    <t>152.2</t>
  </si>
  <si>
    <t>153</t>
  </si>
  <si>
    <t>153.5</t>
  </si>
  <si>
    <t>152.8</t>
  </si>
  <si>
    <t>153.9</t>
  </si>
  <si>
    <t>154.8</t>
  </si>
  <si>
    <t>154.5</t>
  </si>
  <si>
    <t>155.6</t>
  </si>
  <si>
    <t>154.7</t>
  </si>
  <si>
    <t>155.5</t>
  </si>
  <si>
    <t>156.3</t>
  </si>
  <si>
    <t>156.5</t>
  </si>
  <si>
    <t>158</t>
  </si>
  <si>
    <t>158.4</t>
  </si>
  <si>
    <t>157.7</t>
  </si>
  <si>
    <t>159.8</t>
  </si>
  <si>
    <t>-</t>
  </si>
  <si>
    <t>159.9</t>
  </si>
  <si>
    <t>161.4</t>
  </si>
  <si>
    <t>161.6</t>
  </si>
  <si>
    <t>160.5</t>
  </si>
  <si>
    <t>161.5</t>
  </si>
  <si>
    <t>162.1</t>
  </si>
  <si>
    <t>163.6</t>
  </si>
  <si>
    <t>164.2</t>
  </si>
  <si>
    <t>163.4</t>
  </si>
  <si>
    <t>164.5</t>
  </si>
  <si>
    <t>165.5</t>
  </si>
  <si>
    <t>165.3</t>
  </si>
  <si>
    <t>167</t>
  </si>
  <si>
    <t>167.5</t>
  </si>
  <si>
    <t>166.8</t>
  </si>
  <si>
    <t>167.8</t>
  </si>
  <si>
    <t>169</t>
  </si>
  <si>
    <t>169.5</t>
  </si>
  <si>
    <t>171.2</t>
  </si>
  <si>
    <t>171.8</t>
  </si>
  <si>
    <t>170.7</t>
  </si>
  <si>
    <t>172.1</t>
  </si>
  <si>
    <t>173.5</t>
  </si>
  <si>
    <t>175.2</t>
  </si>
  <si>
    <t>175.6</t>
  </si>
  <si>
    <t>FOOD</t>
  </si>
  <si>
    <t>LUXURY</t>
  </si>
  <si>
    <t>HOUSING</t>
  </si>
  <si>
    <t>GENERAL INDEX</t>
  </si>
  <si>
    <t xml:space="preserve">LUXURY </t>
  </si>
  <si>
    <t>misc</t>
  </si>
  <si>
    <t>CATEGORIES</t>
  </si>
  <si>
    <t>YEAR</t>
  </si>
  <si>
    <t>MONTH</t>
  </si>
  <si>
    <t>Row Labels</t>
  </si>
  <si>
    <t>Grand Total</t>
  </si>
  <si>
    <t>Fooding</t>
  </si>
  <si>
    <t>total sector wise</t>
  </si>
  <si>
    <t>Luxury</t>
  </si>
  <si>
    <t>Fuel And Light</t>
  </si>
  <si>
    <t>Transport And Communication</t>
  </si>
  <si>
    <t xml:space="preserve">Luxury </t>
  </si>
  <si>
    <t>Misc</t>
  </si>
  <si>
    <t>Inflation</t>
  </si>
  <si>
    <t>CLOTHING</t>
  </si>
  <si>
    <t>fuel and light</t>
  </si>
  <si>
    <t>health</t>
  </si>
  <si>
    <t>education</t>
  </si>
  <si>
    <t>food</t>
  </si>
  <si>
    <t>luxury</t>
  </si>
  <si>
    <t>clothing</t>
  </si>
  <si>
    <t>housing</t>
  </si>
  <si>
    <t>ANSWER OF QUESTION NO 3</t>
  </si>
  <si>
    <t>RURAL</t>
  </si>
  <si>
    <t>ANSWER OF QUESTION NO 4</t>
  </si>
  <si>
    <t xml:space="preserve">FOOD </t>
  </si>
  <si>
    <t>HEALTH</t>
  </si>
  <si>
    <t>ESSENTIAL</t>
  </si>
  <si>
    <t>Crude oil price</t>
  </si>
  <si>
    <t xml:space="preserve"> </t>
  </si>
  <si>
    <t>ANSWER OF QUESTION NO 1</t>
  </si>
  <si>
    <t>ANSWER OF QUESTION NO 2</t>
  </si>
  <si>
    <t>Category</t>
  </si>
  <si>
    <t>Food</t>
  </si>
  <si>
    <t>Essential</t>
  </si>
  <si>
    <t>Correlation</t>
  </si>
  <si>
    <t>Average</t>
  </si>
  <si>
    <t>date</t>
  </si>
  <si>
    <t>% change Cereals and products</t>
  </si>
  <si>
    <t>% change Meat and fish</t>
  </si>
  <si>
    <t>% change egg</t>
  </si>
  <si>
    <t>% change Milk and products</t>
  </si>
  <si>
    <t>% change Oils and fats</t>
  </si>
  <si>
    <t>% change Fruits</t>
  </si>
  <si>
    <t>% change Vegetables</t>
  </si>
  <si>
    <t>% change Pulses and products</t>
  </si>
  <si>
    <t>% change Sugar and Confectionery</t>
  </si>
  <si>
    <t>% change Spices</t>
  </si>
  <si>
    <t>% change Prepared meals, snacks, sweets etc.</t>
  </si>
  <si>
    <t>% change Food and beverages</t>
  </si>
  <si>
    <t>% change Average</t>
  </si>
  <si>
    <t>sum of % change Rural</t>
  </si>
  <si>
    <t>sum of % change Urban</t>
  </si>
  <si>
    <t>sum of % change Urban + Rural</t>
  </si>
  <si>
    <t>Sum of Average</t>
  </si>
  <si>
    <t>Categories</t>
  </si>
  <si>
    <t>Pre-Covid</t>
  </si>
  <si>
    <t>Covid</t>
  </si>
  <si>
    <t>Post Covid</t>
  </si>
  <si>
    <t>increase % food</t>
  </si>
  <si>
    <t>increase % Health</t>
  </si>
  <si>
    <t>Site</t>
  </si>
  <si>
    <t>period</t>
  </si>
  <si>
    <t xml:space="preserve">Health </t>
  </si>
  <si>
    <t>increase % Essential</t>
  </si>
  <si>
    <t>Period</t>
  </si>
  <si>
    <t>Averages of Inflation %</t>
  </si>
  <si>
    <t>Classified as</t>
  </si>
  <si>
    <t>Original Classification</t>
  </si>
  <si>
    <t>CPI Value</t>
  </si>
  <si>
    <t>Average of CPI Value</t>
  </si>
  <si>
    <t>Sum of Rural</t>
  </si>
  <si>
    <t>Sum of Urban</t>
  </si>
  <si>
    <t>Sum of Rural+Urban</t>
  </si>
  <si>
    <t>Classification</t>
  </si>
  <si>
    <t xml:space="preserve">Categories </t>
  </si>
  <si>
    <t>Average Rural</t>
  </si>
  <si>
    <t>General Data</t>
  </si>
  <si>
    <t>Impact Of Covid -19 on CPI inflation 
(Pre VS Post covid)</t>
  </si>
  <si>
    <t>Impact Of Covid -19 on CPI inflation 
Year Wise</t>
  </si>
  <si>
    <t>ANSWER 1</t>
  </si>
  <si>
    <t>ANSWER 2</t>
  </si>
  <si>
    <t>ANSWER 3</t>
  </si>
  <si>
    <t>ANSWER 4</t>
  </si>
  <si>
    <t>ANSWER 5</t>
  </si>
  <si>
    <t>Contribution %</t>
  </si>
  <si>
    <t>Contribution % Rural</t>
  </si>
  <si>
    <t>Contribution % Urban</t>
  </si>
  <si>
    <t>Contribution %  Rural+Urban</t>
  </si>
  <si>
    <t>Column1</t>
  </si>
  <si>
    <t>Column2</t>
  </si>
  <si>
    <t>Pre vs Post COVID Impact</t>
  </si>
  <si>
    <t>Sharp Business Insights</t>
  </si>
  <si>
    <t>Key Economic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</si>
</sst>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8" x14ac:knownFonts="1">
    <font>
      <sz val="11"/>
      <color theme="1"/>
      <name val="Calibri"/>
      <family val="2"/>
      <scheme val="minor"/>
    </font>
    <font>
      <sz val="11"/>
      <color theme="1"/>
      <name val="Calibri"/>
      <family val="2"/>
      <scheme val="minor"/>
    </font>
    <font>
      <b/>
      <sz val="11"/>
      <color theme="0"/>
      <name val="Calibri"/>
      <family val="2"/>
      <scheme val="minor"/>
    </font>
    <font>
      <b/>
      <sz val="20"/>
      <color theme="1"/>
      <name val="Calibri"/>
      <family val="2"/>
      <scheme val="minor"/>
    </font>
    <font>
      <b/>
      <sz val="16"/>
      <color theme="1"/>
      <name val="Calibri"/>
      <family val="2"/>
      <scheme val="minor"/>
    </font>
    <font>
      <sz val="12"/>
      <color theme="1"/>
      <name val="Times New Roman"/>
      <family val="1"/>
    </font>
    <font>
      <sz val="22"/>
      <color theme="1"/>
      <name val="Aharoni"/>
      <charset val="177"/>
    </font>
    <font>
      <b/>
      <sz val="11"/>
      <color theme="1"/>
      <name val="Calibri"/>
      <family val="2"/>
      <scheme val="minor"/>
    </font>
    <font>
      <sz val="20"/>
      <color theme="1"/>
      <name val="Calibri"/>
      <family val="2"/>
      <scheme val="minor"/>
    </font>
    <font>
      <b/>
      <sz val="24"/>
      <color theme="1"/>
      <name val="Calibri"/>
      <family val="2"/>
      <scheme val="minor"/>
    </font>
    <font>
      <sz val="8"/>
      <name val="Calibri"/>
      <family val="2"/>
      <scheme val="minor"/>
    </font>
    <font>
      <b/>
      <sz val="11"/>
      <color theme="1"/>
      <name val="Aptos Black"/>
      <family val="2"/>
    </font>
    <font>
      <sz val="11"/>
      <name val="Calibri"/>
      <family val="2"/>
      <scheme val="minor"/>
    </font>
    <font>
      <b/>
      <sz val="11"/>
      <name val="Calibri"/>
      <family val="2"/>
      <scheme val="minor"/>
    </font>
    <font>
      <sz val="20"/>
      <color theme="1"/>
      <name val="Amasis MT Pro Black"/>
      <family val="1"/>
    </font>
    <font>
      <sz val="11"/>
      <color theme="0"/>
      <name val="Calibri"/>
      <family val="2"/>
      <scheme val="minor"/>
    </font>
    <font>
      <b/>
      <sz val="18"/>
      <color theme="1"/>
      <name val="Calibri"/>
      <family val="2"/>
      <scheme val="minor"/>
    </font>
    <font>
      <b/>
      <sz val="18"/>
      <color theme="1"/>
      <name val="Times New Roman"/>
      <family val="1"/>
    </font>
  </fonts>
  <fills count="1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00B0F0"/>
        <bgColor indexed="64"/>
      </patternFill>
    </fill>
    <fill>
      <patternFill patternType="solid">
        <fgColor theme="2" tint="-0.499984740745262"/>
        <bgColor theme="4"/>
      </patternFill>
    </fill>
    <fill>
      <patternFill patternType="solid">
        <fgColor theme="4" tint="0.79998168889431442"/>
        <bgColor theme="4" tint="0.79998168889431442"/>
      </patternFill>
    </fill>
    <fill>
      <patternFill patternType="solid">
        <fgColor theme="4"/>
        <bgColor theme="4"/>
      </patternFill>
    </fill>
    <fill>
      <patternFill patternType="solid">
        <fgColor theme="1"/>
        <bgColor theme="4"/>
      </patternFill>
    </fill>
    <fill>
      <patternFill patternType="solid">
        <fgColor theme="1"/>
        <bgColor indexed="64"/>
      </patternFill>
    </fill>
    <fill>
      <patternFill patternType="solid">
        <fgColor theme="1"/>
        <bgColor theme="9" tint="0.79998168889431442"/>
      </patternFill>
    </fill>
    <fill>
      <patternFill patternType="solid">
        <fgColor theme="1"/>
        <bgColor theme="9"/>
      </patternFill>
    </fill>
    <fill>
      <patternFill patternType="solid">
        <fgColor theme="0" tint="-0.14999847407452621"/>
        <bgColor theme="0" tint="-0.14999847407452621"/>
      </patternFill>
    </fill>
    <fill>
      <patternFill patternType="solid">
        <fgColor theme="1"/>
        <bgColor theme="1"/>
      </patternFill>
    </fill>
  </fills>
  <borders count="1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9" tint="0.39997558519241921"/>
      </top>
      <bottom style="thin">
        <color theme="9" tint="0.3999755851924192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9" tint="0.39997558519241921"/>
      </top>
      <bottom style="thin">
        <color theme="9" tint="0.39997558519241921"/>
      </bottom>
      <diagonal/>
    </border>
    <border>
      <left/>
      <right/>
      <top/>
      <bottom style="thin">
        <color theme="9" tint="0.39997558519241921"/>
      </bottom>
      <diagonal/>
    </border>
    <border>
      <left style="thin">
        <color theme="1"/>
      </left>
      <right/>
      <top/>
      <bottom style="thin">
        <color theme="1"/>
      </bottom>
      <diagonal/>
    </border>
    <border>
      <left/>
      <right style="thin">
        <color theme="1"/>
      </right>
      <top/>
      <bottom style="thin">
        <color theme="1"/>
      </bottom>
      <diagonal/>
    </border>
    <border>
      <left/>
      <right/>
      <top style="thin">
        <color theme="1"/>
      </top>
      <bottom style="thin">
        <color theme="1"/>
      </bottom>
      <diagonal/>
    </border>
  </borders>
  <cellStyleXfs count="2">
    <xf numFmtId="0" fontId="0" fillId="0" borderId="0"/>
    <xf numFmtId="9" fontId="1" fillId="0" borderId="0" applyFont="0" applyFill="0" applyBorder="0" applyAlignment="0" applyProtection="0"/>
  </cellStyleXfs>
  <cellXfs count="86">
    <xf numFmtId="0" fontId="0" fillId="0" borderId="0" xfId="0"/>
    <xf numFmtId="0" fontId="2" fillId="2" borderId="1" xfId="0" applyFont="1" applyFill="1" applyBorder="1"/>
    <xf numFmtId="0" fontId="2" fillId="2" borderId="2" xfId="0" applyFont="1" applyFill="1" applyBorder="1"/>
    <xf numFmtId="0" fontId="0" fillId="3" borderId="2" xfId="0" applyFill="1" applyBorder="1"/>
    <xf numFmtId="0" fontId="0" fillId="0" borderId="2" xfId="0" applyBorder="1"/>
    <xf numFmtId="0" fontId="2" fillId="2" borderId="3" xfId="0" applyFont="1" applyFill="1" applyBorder="1"/>
    <xf numFmtId="0" fontId="0" fillId="3" borderId="3" xfId="0" applyFill="1" applyBorder="1"/>
    <xf numFmtId="0" fontId="0" fillId="0" borderId="3" xfId="0" applyBorder="1"/>
    <xf numFmtId="0" fontId="2" fillId="2" borderId="0" xfId="0" applyFont="1" applyFill="1"/>
    <xf numFmtId="0" fontId="0" fillId="0" borderId="0" xfId="0" pivotButton="1"/>
    <xf numFmtId="0" fontId="0" fillId="0" borderId="0" xfId="0" applyAlignment="1">
      <alignment horizontal="left"/>
    </xf>
    <xf numFmtId="0" fontId="0" fillId="3" borderId="1" xfId="0" applyFill="1" applyBorder="1"/>
    <xf numFmtId="0" fontId="0" fillId="0" borderId="1" xfId="0" applyBorder="1"/>
    <xf numFmtId="2" fontId="0" fillId="0" borderId="3" xfId="0" applyNumberFormat="1" applyBorder="1"/>
    <xf numFmtId="165" fontId="0" fillId="0" borderId="0" xfId="1" applyNumberFormat="1" applyFont="1"/>
    <xf numFmtId="0" fontId="0" fillId="3" borderId="4" xfId="0" applyFill="1" applyBorder="1"/>
    <xf numFmtId="0" fontId="0" fillId="0" borderId="0" xfId="0" applyAlignment="1">
      <alignment wrapText="1"/>
    </xf>
    <xf numFmtId="17" fontId="0" fillId="0" borderId="0" xfId="0" applyNumberFormat="1"/>
    <xf numFmtId="164" fontId="0" fillId="0" borderId="0" xfId="0" applyNumberFormat="1"/>
    <xf numFmtId="17" fontId="0" fillId="0" borderId="0" xfId="0" applyNumberFormat="1" applyAlignment="1">
      <alignment horizontal="left"/>
    </xf>
    <xf numFmtId="0" fontId="2" fillId="6" borderId="6" xfId="0" applyFont="1" applyFill="1" applyBorder="1"/>
    <xf numFmtId="0" fontId="2" fillId="6" borderId="7" xfId="0" applyFont="1" applyFill="1" applyBorder="1"/>
    <xf numFmtId="9" fontId="0" fillId="3" borderId="2" xfId="1" applyFont="1" applyFill="1" applyBorder="1"/>
    <xf numFmtId="0" fontId="0" fillId="3" borderId="0" xfId="0" applyFill="1"/>
    <xf numFmtId="9" fontId="0" fillId="3" borderId="0" xfId="1" applyFont="1" applyFill="1" applyBorder="1"/>
    <xf numFmtId="9" fontId="0" fillId="0" borderId="0" xfId="0" applyNumberFormat="1"/>
    <xf numFmtId="0" fontId="7" fillId="7" borderId="7" xfId="0" applyFont="1" applyFill="1" applyBorder="1" applyAlignment="1">
      <alignment horizontal="left"/>
    </xf>
    <xf numFmtId="9" fontId="7" fillId="7" borderId="7" xfId="0" applyNumberFormat="1" applyFont="1" applyFill="1" applyBorder="1"/>
    <xf numFmtId="0" fontId="8" fillId="0" borderId="0" xfId="0" applyFont="1"/>
    <xf numFmtId="0" fontId="2" fillId="8" borderId="8" xfId="0" applyFont="1" applyFill="1" applyBorder="1"/>
    <xf numFmtId="0" fontId="0" fillId="7" borderId="8" xfId="0" applyFill="1" applyBorder="1"/>
    <xf numFmtId="0" fontId="0" fillId="0" borderId="8" xfId="0" applyBorder="1"/>
    <xf numFmtId="0" fontId="2" fillId="2" borderId="9" xfId="0" applyFont="1" applyFill="1" applyBorder="1"/>
    <xf numFmtId="0" fontId="0" fillId="3" borderId="9" xfId="0" applyFill="1" applyBorder="1"/>
    <xf numFmtId="0" fontId="0" fillId="7" borderId="1" xfId="0" applyFill="1" applyBorder="1"/>
    <xf numFmtId="0" fontId="0" fillId="7" borderId="9" xfId="0" applyFill="1" applyBorder="1"/>
    <xf numFmtId="0" fontId="0" fillId="0" borderId="9" xfId="0" applyBorder="1"/>
    <xf numFmtId="0" fontId="2" fillId="8" borderId="6" xfId="0" applyFont="1" applyFill="1" applyBorder="1"/>
    <xf numFmtId="0" fontId="2" fillId="9" borderId="6" xfId="0" applyFont="1" applyFill="1" applyBorder="1"/>
    <xf numFmtId="0" fontId="0" fillId="10" borderId="0" xfId="0" applyFill="1"/>
    <xf numFmtId="0" fontId="0" fillId="11" borderId="0" xfId="0" applyFill="1"/>
    <xf numFmtId="0" fontId="2" fillId="12" borderId="2" xfId="0" applyFont="1" applyFill="1" applyBorder="1"/>
    <xf numFmtId="0" fontId="2" fillId="12" borderId="9" xfId="0" applyFont="1" applyFill="1" applyBorder="1"/>
    <xf numFmtId="165" fontId="0" fillId="0" borderId="0" xfId="1" applyNumberFormat="1" applyFont="1" applyFill="1"/>
    <xf numFmtId="0" fontId="2" fillId="9" borderId="8" xfId="0" applyFont="1" applyFill="1" applyBorder="1"/>
    <xf numFmtId="0" fontId="2" fillId="11" borderId="6" xfId="0" applyFont="1" applyFill="1" applyBorder="1"/>
    <xf numFmtId="0" fontId="2" fillId="10" borderId="10" xfId="0" applyFont="1" applyFill="1" applyBorder="1"/>
    <xf numFmtId="0" fontId="6" fillId="0" borderId="0" xfId="0" applyFont="1" applyAlignment="1">
      <alignment horizontal="center"/>
    </xf>
    <xf numFmtId="0" fontId="2" fillId="12" borderId="3" xfId="0" applyFont="1" applyFill="1" applyBorder="1"/>
    <xf numFmtId="0" fontId="2" fillId="12" borderId="0" xfId="0" applyFont="1" applyFill="1"/>
    <xf numFmtId="9" fontId="0" fillId="0" borderId="2" xfId="1" applyFont="1" applyFill="1" applyBorder="1"/>
    <xf numFmtId="9" fontId="0" fillId="0" borderId="0" xfId="1" applyFont="1" applyFill="1" applyBorder="1"/>
    <xf numFmtId="0" fontId="2" fillId="0" borderId="2" xfId="0" applyFont="1" applyBorder="1"/>
    <xf numFmtId="0" fontId="12" fillId="0" borderId="0" xfId="0" applyFont="1"/>
    <xf numFmtId="0" fontId="13" fillId="0" borderId="2" xfId="0" applyFont="1" applyBorder="1"/>
    <xf numFmtId="0" fontId="12" fillId="0" borderId="1" xfId="0" applyFont="1" applyBorder="1"/>
    <xf numFmtId="0" fontId="12" fillId="0" borderId="2" xfId="0" applyFont="1" applyBorder="1"/>
    <xf numFmtId="166" fontId="5" fillId="0" borderId="5" xfId="0" applyNumberFormat="1" applyFont="1" applyBorder="1" applyAlignment="1">
      <alignment horizontal="right" vertical="center"/>
    </xf>
    <xf numFmtId="4" fontId="5" fillId="0" borderId="5" xfId="0" applyNumberFormat="1" applyFont="1" applyBorder="1" applyAlignment="1">
      <alignment horizontal="right" vertical="center"/>
    </xf>
    <xf numFmtId="0" fontId="6" fillId="0" borderId="0" xfId="0" applyFont="1"/>
    <xf numFmtId="0" fontId="2" fillId="0" borderId="0" xfId="0" applyFont="1"/>
    <xf numFmtId="0" fontId="2" fillId="10" borderId="2" xfId="0" applyFont="1" applyFill="1" applyBorder="1"/>
    <xf numFmtId="0" fontId="2" fillId="10" borderId="3" xfId="0" applyFont="1" applyFill="1" applyBorder="1"/>
    <xf numFmtId="0" fontId="2" fillId="10" borderId="12" xfId="0" applyFont="1" applyFill="1" applyBorder="1"/>
    <xf numFmtId="0" fontId="2" fillId="14" borderId="14" xfId="0" applyFont="1" applyFill="1" applyBorder="1"/>
    <xf numFmtId="0" fontId="2" fillId="14" borderId="15" xfId="0" applyFont="1" applyFill="1" applyBorder="1"/>
    <xf numFmtId="165" fontId="0" fillId="13" borderId="11" xfId="1" applyNumberFormat="1" applyFont="1" applyFill="1" applyBorder="1"/>
    <xf numFmtId="165" fontId="0" fillId="0" borderId="11" xfId="1" applyNumberFormat="1" applyFont="1" applyBorder="1"/>
    <xf numFmtId="0" fontId="14" fillId="0" borderId="0" xfId="0" applyFont="1" applyAlignment="1">
      <alignment horizontal="center"/>
    </xf>
    <xf numFmtId="0" fontId="0" fillId="0" borderId="0" xfId="1" applyNumberFormat="1" applyFont="1"/>
    <xf numFmtId="0" fontId="2" fillId="14" borderId="16" xfId="0" applyFont="1" applyFill="1" applyBorder="1"/>
    <xf numFmtId="0" fontId="2" fillId="14" borderId="11" xfId="0" applyFont="1" applyFill="1" applyBorder="1"/>
    <xf numFmtId="0" fontId="14" fillId="0" borderId="0" xfId="0" applyFont="1"/>
    <xf numFmtId="0" fontId="15" fillId="14" borderId="0" xfId="0" applyFont="1" applyFill="1"/>
    <xf numFmtId="0" fontId="11" fillId="0" borderId="0" xfId="0" applyFont="1" applyAlignment="1">
      <alignment wrapText="1"/>
    </xf>
    <xf numFmtId="0" fontId="6" fillId="0" borderId="0" xfId="0" applyFont="1" applyAlignment="1">
      <alignment horizontal="center"/>
    </xf>
    <xf numFmtId="0" fontId="14" fillId="0" borderId="0" xfId="0" applyFont="1" applyAlignment="1">
      <alignment horizontal="center"/>
    </xf>
    <xf numFmtId="0" fontId="11" fillId="0" borderId="0" xfId="0" applyFont="1" applyAlignment="1">
      <alignment horizontal="center" wrapText="1"/>
    </xf>
    <xf numFmtId="0" fontId="17" fillId="0" borderId="0" xfId="0" applyFont="1" applyAlignment="1">
      <alignment horizontal="center" vertical="center"/>
    </xf>
    <xf numFmtId="0" fontId="0" fillId="0" borderId="0" xfId="0" applyAlignment="1">
      <alignment horizontal="center" vertical="center"/>
    </xf>
    <xf numFmtId="0" fontId="3" fillId="4" borderId="0" xfId="0" applyFont="1" applyFill="1" applyAlignment="1">
      <alignment horizontal="center" vertical="center" wrapText="1"/>
    </xf>
    <xf numFmtId="0" fontId="4" fillId="5" borderId="0" xfId="0" applyFont="1" applyFill="1" applyAlignment="1">
      <alignment horizontal="center"/>
    </xf>
    <xf numFmtId="0" fontId="9" fillId="0" borderId="0" xfId="0" applyFont="1" applyAlignment="1">
      <alignment horizontal="center"/>
    </xf>
    <xf numFmtId="0" fontId="0" fillId="0" borderId="0" xfId="0" applyAlignment="1">
      <alignment horizontal="center"/>
    </xf>
    <xf numFmtId="0" fontId="16" fillId="0" borderId="0" xfId="0" applyFont="1" applyAlignment="1">
      <alignment horizontal="center" vertical="center"/>
    </xf>
    <xf numFmtId="0" fontId="6" fillId="0" borderId="13" xfId="0" applyFont="1" applyBorder="1" applyAlignment="1">
      <alignment horizontal="center"/>
    </xf>
  </cellXfs>
  <cellStyles count="2">
    <cellStyle name="Normal" xfId="0" builtinId="0"/>
    <cellStyle name="Percent" xfId="1" builtinId="5"/>
  </cellStyles>
  <dxfs count="220">
    <dxf>
      <font>
        <b val="0"/>
        <i val="0"/>
        <strike val="0"/>
        <condense val="0"/>
        <extend val="0"/>
        <outline val="0"/>
        <shadow val="0"/>
        <u val="none"/>
        <vertAlign val="baseline"/>
        <sz val="11"/>
        <color theme="1"/>
        <name val="Calibri"/>
        <family val="2"/>
        <scheme val="minor"/>
      </font>
      <numFmt numFmtId="165" formatCode="0.0%"/>
    </dxf>
    <dxf>
      <font>
        <b/>
        <i val="0"/>
        <strike val="0"/>
        <condense val="0"/>
        <extend val="0"/>
        <outline val="0"/>
        <shadow val="0"/>
        <u val="none"/>
        <vertAlign val="baseline"/>
        <sz val="11"/>
        <color theme="0"/>
        <name val="Calibri"/>
        <family val="2"/>
        <scheme val="minor"/>
      </font>
      <fill>
        <patternFill patternType="solid">
          <fgColor theme="9"/>
          <bgColor theme="1"/>
        </patternFill>
      </fill>
      <border diagonalUp="0" diagonalDown="0" outline="0">
        <left/>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1"/>
        </patternFill>
      </fill>
    </dxf>
    <dxf>
      <font>
        <b val="0"/>
        <i val="0"/>
        <strike val="0"/>
        <condense val="0"/>
        <extend val="0"/>
        <outline val="0"/>
        <shadow val="0"/>
        <u val="none"/>
        <vertAlign val="baseline"/>
        <sz val="11"/>
        <color theme="1"/>
        <name val="Calibri"/>
        <family val="2"/>
        <scheme val="minor"/>
      </font>
      <numFmt numFmtId="165" formatCode="0.0%"/>
    </dxf>
    <dxf>
      <font>
        <b/>
        <i val="0"/>
        <strike val="0"/>
        <condense val="0"/>
        <extend val="0"/>
        <outline val="0"/>
        <shadow val="0"/>
        <u val="none"/>
        <vertAlign val="baseline"/>
        <sz val="11"/>
        <color theme="0"/>
        <name val="Calibri"/>
        <family val="2"/>
        <scheme val="minor"/>
      </font>
      <fill>
        <patternFill patternType="solid">
          <fgColor theme="9"/>
          <bgColor theme="9"/>
        </patternFill>
      </fill>
      <border diagonalUp="0" diagonalDown="0" outline="0">
        <left/>
        <right/>
        <top style="thin">
          <color theme="9" tint="0.39997558519241921"/>
        </top>
        <bottom style="thin">
          <color theme="9" tint="0.39997558519241921"/>
        </bottom>
      </border>
    </dxf>
    <dxf>
      <border outline="0">
        <top style="thin">
          <color theme="9" tint="0.39997558519241921"/>
        </top>
      </border>
    </dxf>
    <dxf>
      <border outline="0">
        <bottom style="thin">
          <color theme="1"/>
        </bottom>
      </border>
    </dxf>
    <dxf>
      <font>
        <b/>
        <i val="0"/>
        <strike val="0"/>
        <condense val="0"/>
        <extend val="0"/>
        <outline val="0"/>
        <shadow val="0"/>
        <u val="none"/>
        <vertAlign val="baseline"/>
        <sz val="11"/>
        <color theme="0"/>
        <name val="Calibri"/>
        <family val="2"/>
        <scheme val="minor"/>
      </font>
      <fill>
        <patternFill patternType="solid">
          <fgColor theme="1"/>
          <bgColor theme="1"/>
        </patternFill>
      </fill>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solid">
          <fgColor indexed="64"/>
          <bgColor theme="1"/>
        </patternFill>
      </fill>
      <border diagonalUp="0" diagonalDown="0" outline="0">
        <left/>
        <right/>
        <top style="thin">
          <color theme="9" tint="0.39997558519241921"/>
        </top>
        <bottom style="thin">
          <color theme="9" tint="0.39997558519241921"/>
        </bottom>
      </border>
    </dxf>
    <dxf>
      <border outline="0">
        <top style="thin">
          <color theme="9" tint="0.39997558519241921"/>
        </top>
      </border>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theme="1"/>
        <name val="Times New Roman"/>
        <family val="1"/>
        <scheme val="none"/>
      </font>
      <numFmt numFmtId="4" formatCode="#,##0.0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2" formatCode="mmm/yy"/>
      <fill>
        <patternFill patternType="none">
          <fgColor indexed="64"/>
          <bgColor indexed="65"/>
        </patternFill>
      </fill>
    </dxf>
    <dxf>
      <border outline="0">
        <right style="thin">
          <color theme="9" tint="0.39997558519241921"/>
        </right>
      </border>
    </dxf>
    <dxf>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theme="1"/>
        <name val="Times New Roman"/>
        <family val="1"/>
        <scheme val="none"/>
      </font>
      <numFmt numFmtId="166" formatCode="#,##0.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2" formatCode="mmm/yy"/>
      <fill>
        <patternFill patternType="none">
          <fgColor indexed="64"/>
          <bgColor indexed="65"/>
        </patternFill>
      </fill>
    </dxf>
    <dxf>
      <border outline="0">
        <right style="thin">
          <color theme="9" tint="0.39997558519241921"/>
        </right>
      </border>
    </dxf>
    <dxf>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theme="1"/>
        <name val="Times New Roman"/>
        <family val="1"/>
        <scheme val="none"/>
      </font>
      <numFmt numFmtId="166" formatCode="#,##0.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2" formatCode="mmm/yy"/>
      <fill>
        <patternFill patternType="none">
          <fgColor indexed="64"/>
          <bgColor indexed="65"/>
        </patternFill>
      </fill>
    </dxf>
    <dxf>
      <border outline="0">
        <right style="thin">
          <color theme="9" tint="0.39997558519241921"/>
        </right>
      </border>
    </dxf>
    <dxf>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border outline="0">
        <left style="thin">
          <color theme="9" tint="0.39997558519241921"/>
        </left>
      </border>
    </dxf>
    <dxf>
      <fill>
        <patternFill patternType="none">
          <fgColor indexed="64"/>
          <bgColor indexed="65"/>
        </patternFill>
      </fill>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border outline="0">
        <left style="thin">
          <color theme="9" tint="0.39997558519241921"/>
        </left>
      </border>
    </dxf>
    <dxf>
      <fill>
        <patternFill patternType="none">
          <fgColor indexed="64"/>
          <bgColor indexed="65"/>
        </patternFill>
      </fill>
    </dxf>
    <dxf>
      <numFmt numFmtId="13" formatCode="0%"/>
    </dxf>
    <dxf>
      <numFmt numFmtId="13" formatCode="0%"/>
    </dxf>
    <dxf>
      <numFmt numFmtId="13" formatCode="0%"/>
    </dxf>
    <dxf>
      <border outline="0">
        <left style="thin">
          <color theme="9" tint="0.39997558519241921"/>
        </left>
      </border>
    </dxf>
    <dxf>
      <font>
        <b/>
        <i val="0"/>
        <strike val="0"/>
        <condense val="0"/>
        <extend val="0"/>
        <outline val="0"/>
        <shadow val="0"/>
        <u val="none"/>
        <vertAlign val="baseline"/>
        <sz val="11"/>
        <color theme="0"/>
        <name val="Calibri"/>
        <family val="2"/>
        <scheme val="minor"/>
      </font>
      <fill>
        <patternFill patternType="solid">
          <fgColor theme="4"/>
          <bgColor theme="2" tint="-0.499984740745262"/>
        </patternFill>
      </fill>
      <border diagonalUp="0" diagonalDown="0" outline="0">
        <left/>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2" tint="-0.499984740745262"/>
        </patternFill>
      </fill>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numFmt numFmtId="22" formatCode="mmm/yy"/>
    </dxf>
    <dxf>
      <font>
        <b val="0"/>
        <i val="0"/>
        <strike val="0"/>
        <condense val="0"/>
        <extend val="0"/>
        <outline val="0"/>
        <shadow val="0"/>
        <u val="none"/>
        <vertAlign val="baseline"/>
        <sz val="11"/>
        <color theme="1"/>
        <name val="Calibri"/>
        <family val="2"/>
        <scheme val="minor"/>
      </font>
    </dxf>
    <dxf>
      <numFmt numFmtId="164" formatCode="0.0"/>
    </dxf>
    <dxf>
      <numFmt numFmtId="13" formatCode="0%"/>
    </dxf>
    <dxf>
      <font>
        <b val="0"/>
        <i val="0"/>
        <strike val="0"/>
        <condense val="0"/>
        <extend val="0"/>
        <outline val="0"/>
        <shadow val="0"/>
        <u val="none"/>
        <vertAlign val="baseline"/>
        <sz val="11"/>
        <color theme="1"/>
        <name val="Calibri"/>
        <family val="2"/>
        <scheme val="minor"/>
      </font>
      <numFmt numFmtId="165" formatCode="0.0%"/>
    </dxf>
    <dxf>
      <border diagonalUp="0" diagonalDown="0">
        <left/>
        <right style="thin">
          <color theme="9" tint="0.39997558519241921"/>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outline="0">
        <left style="thin">
          <color theme="9" tint="0.39997558519241921"/>
        </left>
      </border>
    </dxf>
    <dxf>
      <font>
        <b/>
        <i val="0"/>
        <strike val="0"/>
        <condense val="0"/>
        <extend val="0"/>
        <outline val="0"/>
        <shadow val="0"/>
        <u val="none"/>
        <vertAlign val="baseline"/>
        <sz val="11"/>
        <color theme="0"/>
        <name val="Calibri"/>
        <family val="2"/>
        <scheme val="minor"/>
      </font>
      <fill>
        <patternFill patternType="solid">
          <fgColor theme="9"/>
          <bgColor theme="1"/>
        </patternFill>
      </fill>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dxf>
    <dxf>
      <fill>
        <patternFill patternType="solid">
          <fgColor theme="9" tint="0.79998168889431442"/>
          <bgColor theme="1"/>
        </patternFill>
      </fill>
    </dxf>
    <dxf>
      <font>
        <strike val="0"/>
        <outline val="0"/>
        <shadow val="0"/>
        <u val="none"/>
        <vertAlign val="baseline"/>
        <sz val="11"/>
        <color auto="1"/>
        <name val="Calibri"/>
        <family val="2"/>
        <scheme val="minor"/>
      </font>
      <fill>
        <patternFill patternType="none">
          <fgColor theme="9" tint="0.79998168889431442"/>
          <bgColor auto="1"/>
        </patternFill>
      </fill>
      <border diagonalUp="0" diagonalDown="0" outline="0">
        <left/>
        <right/>
        <top style="thin">
          <color theme="9" tint="0.39997558519241921"/>
        </top>
        <bottom style="thin">
          <color theme="9" tint="0.39997558519241921"/>
        </bottom>
      </border>
    </dxf>
    <dxf>
      <font>
        <strike val="0"/>
        <outline val="0"/>
        <shadow val="0"/>
        <u val="none"/>
        <vertAlign val="baseline"/>
        <sz val="11"/>
        <color auto="1"/>
        <name val="Calibri"/>
        <family val="2"/>
        <scheme val="minor"/>
      </font>
      <fill>
        <patternFill patternType="none">
          <fgColor theme="9" tint="0.79998168889431442"/>
          <bgColor auto="1"/>
        </patternFill>
      </fill>
      <border diagonalUp="0" diagonalDown="0" outline="0">
        <left style="thin">
          <color theme="9" tint="0.39997558519241921"/>
        </left>
        <right/>
        <top style="thin">
          <color theme="9" tint="0.39997558519241921"/>
        </top>
        <bottom style="thin">
          <color theme="9" tint="0.39997558519241921"/>
        </bottom>
      </border>
    </dxf>
    <dxf>
      <font>
        <b/>
        <i val="0"/>
        <strike val="0"/>
        <condense val="0"/>
        <extend val="0"/>
        <outline val="0"/>
        <shadow val="0"/>
        <u val="none"/>
        <vertAlign val="baseline"/>
        <sz val="11"/>
        <color auto="1"/>
        <name val="Calibri"/>
        <family val="2"/>
        <scheme val="minor"/>
      </font>
      <fill>
        <patternFill patternType="none">
          <fgColor theme="9"/>
          <bgColor auto="1"/>
        </patternFill>
      </fill>
      <border diagonalUp="0" diagonalDown="0" outline="0">
        <left/>
        <right/>
        <top style="thin">
          <color theme="9" tint="0.39997558519241921"/>
        </top>
        <bottom style="thin">
          <color theme="9" tint="0.39997558519241921"/>
        </bottom>
      </border>
    </dxf>
    <dxf>
      <font>
        <strike val="0"/>
        <outline val="0"/>
        <shadow val="0"/>
        <u val="none"/>
        <vertAlign val="baseline"/>
        <sz val="11"/>
        <color auto="1"/>
        <name val="Calibri"/>
        <family val="2"/>
        <scheme val="minor"/>
      </font>
      <numFmt numFmtId="0" formatCode="General"/>
      <fill>
        <patternFill patternType="none">
          <bgColor auto="1"/>
        </patternFill>
      </fill>
    </dxf>
    <dxf>
      <font>
        <strike val="0"/>
        <outline val="0"/>
        <shadow val="0"/>
        <u val="none"/>
        <vertAlign val="baseline"/>
        <sz val="11"/>
        <color auto="1"/>
        <name val="Calibri"/>
        <family val="2"/>
        <scheme val="minor"/>
      </font>
      <fill>
        <patternFill patternType="none">
          <bgColor auto="1"/>
        </patternFill>
      </fill>
    </dxf>
    <dxf>
      <font>
        <b/>
        <i val="0"/>
        <strike val="0"/>
        <condense val="0"/>
        <extend val="0"/>
        <outline val="0"/>
        <shadow val="0"/>
        <u val="none"/>
        <vertAlign val="baseline"/>
        <sz val="11"/>
        <color theme="0"/>
        <name val="Calibri"/>
        <family val="2"/>
        <scheme val="minor"/>
      </font>
      <fill>
        <patternFill patternType="none">
          <fgColor theme="9"/>
          <bgColor auto="1"/>
        </patternFill>
      </fill>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tint="0.79998168889431442"/>
          <bgColor theme="1"/>
        </patternFill>
      </fill>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tint="0.79998168889431442"/>
          <bgColor theme="1"/>
        </patternFill>
      </fill>
    </dxf>
    <dxf>
      <font>
        <b val="0"/>
        <i val="0"/>
        <strike val="0"/>
        <condense val="0"/>
        <extend val="0"/>
        <outline val="0"/>
        <shadow val="0"/>
        <u val="none"/>
        <vertAlign val="baseline"/>
        <sz val="11"/>
        <color theme="1"/>
        <name val="Calibri"/>
        <family val="2"/>
        <scheme val="minor"/>
      </font>
      <numFmt numFmtId="165" formatCode="0.0%"/>
    </dxf>
    <dxf>
      <fill>
        <patternFill patternType="solid">
          <fgColor theme="9" tint="0.79998168889431442"/>
          <bgColor theme="9" tint="0.79998168889431442"/>
        </patternFill>
      </fill>
      <border diagonalUp="0" diagonalDown="0">
        <left/>
        <right style="thin">
          <color theme="4" tint="0.39997558519241921"/>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style="thin">
          <color theme="9" tint="0.39997558519241921"/>
        </bottom>
        <vertical/>
        <horizontal/>
      </border>
    </dxf>
    <dxf>
      <font>
        <b/>
        <i val="0"/>
        <strike val="0"/>
        <condense val="0"/>
        <extend val="0"/>
        <outline val="0"/>
        <shadow val="0"/>
        <u val="none"/>
        <vertAlign val="baseline"/>
        <sz val="11"/>
        <color theme="0"/>
        <name val="Calibri"/>
        <family val="2"/>
        <scheme val="minor"/>
      </font>
      <fill>
        <patternFill patternType="solid">
          <fgColor theme="9"/>
          <bgColor theme="9"/>
        </patternFill>
      </fill>
      <border diagonalUp="0" diagonalDown="0">
        <left/>
        <right/>
        <top style="thin">
          <color theme="9" tint="0.39997558519241921"/>
        </top>
        <bottom style="thin">
          <color theme="9" tint="0.39997558519241921"/>
        </bottom>
        <vertical/>
        <horizontal/>
      </border>
    </dxf>
    <dxf>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font>
        <b/>
        <i val="0"/>
        <strike val="0"/>
        <condense val="0"/>
        <extend val="0"/>
        <outline val="0"/>
        <shadow val="0"/>
        <u val="none"/>
        <vertAlign val="baseline"/>
        <sz val="11"/>
        <color theme="0"/>
        <name val="Calibri"/>
        <family val="2"/>
        <scheme val="minor"/>
      </font>
      <fill>
        <patternFill patternType="solid">
          <fgColor theme="9"/>
          <bgColor theme="1"/>
        </patternFill>
      </fill>
    </dxf>
    <dxf>
      <font>
        <b val="0"/>
        <i val="0"/>
        <strike val="0"/>
        <condense val="0"/>
        <extend val="0"/>
        <outline val="0"/>
        <shadow val="0"/>
        <u val="none"/>
        <vertAlign val="baseline"/>
        <sz val="11"/>
        <color theme="1"/>
        <name val="Calibri"/>
        <family val="2"/>
        <scheme val="minor"/>
      </font>
      <numFmt numFmtId="165" formatCode="0.0%"/>
    </dxf>
    <dxf>
      <border diagonalUp="0" diagonalDown="0">
        <left/>
        <right style="thin">
          <color theme="4" tint="0.39997558519241921"/>
        </right>
        <top style="thin">
          <color theme="9" tint="0.39997558519241921"/>
        </top>
        <bottom style="thin">
          <color theme="9" tint="0.39997558519241921"/>
        </bottom>
        <vertical/>
        <horizontal/>
      </border>
    </dxf>
    <dxf>
      <border diagonalUp="0" diagonalDown="0">
        <left style="thin">
          <color theme="9" tint="0.39997558519241921"/>
        </left>
        <right/>
        <top style="thin">
          <color theme="9" tint="0.39997558519241921"/>
        </top>
        <bottom style="thin">
          <color theme="9" tint="0.39997558519241921"/>
        </bottom>
        <vertical/>
        <horizontal/>
      </border>
    </dxf>
    <dxf>
      <font>
        <b/>
        <i val="0"/>
        <strike val="0"/>
        <condense val="0"/>
        <extend val="0"/>
        <outline val="0"/>
        <shadow val="0"/>
        <u val="none"/>
        <vertAlign val="baseline"/>
        <sz val="11"/>
        <color theme="0"/>
        <name val="Calibri"/>
        <family val="2"/>
        <scheme val="minor"/>
      </font>
      <fill>
        <patternFill patternType="solid">
          <fgColor theme="9"/>
          <bgColor theme="9"/>
        </patternFill>
      </fill>
      <border diagonalUp="0" diagonalDown="0">
        <left/>
        <right/>
        <top style="thin">
          <color theme="9" tint="0.39997558519241921"/>
        </top>
        <bottom style="thin">
          <color theme="9" tint="0.39997558519241921"/>
        </bottom>
        <vertical/>
        <horizontal/>
      </border>
    </dxf>
    <dxf>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font>
        <b/>
        <i val="0"/>
        <strike val="0"/>
        <condense val="0"/>
        <extend val="0"/>
        <outline val="0"/>
        <shadow val="0"/>
        <u val="none"/>
        <vertAlign val="baseline"/>
        <sz val="11"/>
        <color theme="0"/>
        <name val="Calibri"/>
        <family val="2"/>
        <scheme val="minor"/>
      </font>
      <fill>
        <patternFill patternType="solid">
          <fgColor theme="9"/>
          <bgColor theme="1"/>
        </patternFill>
      </fill>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4" tint="0.39997558519241921"/>
        </top>
        <bottom style="thin">
          <color theme="4" tint="0.39997558519241921"/>
        </bottom>
      </border>
    </dxf>
    <dxf>
      <border outline="0">
        <left style="thin">
          <color theme="4" tint="0.39997558519241921"/>
        </left>
      </border>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solid">
          <fgColor theme="9"/>
          <bgColor theme="1"/>
        </patternFill>
      </fill>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dxf>
    <dxf>
      <fill>
        <patternFill patternType="solid">
          <fgColor theme="9" tint="0.79998168889431442"/>
          <bgColor theme="1"/>
        </patternFill>
      </fill>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style="thin">
          <color theme="9" tint="0.39997558519241921"/>
        </bottom>
        <vertical/>
        <horizontal/>
      </border>
    </dxf>
    <dxf>
      <font>
        <b/>
        <i val="0"/>
        <strike val="0"/>
        <condense val="0"/>
        <extend val="0"/>
        <outline val="0"/>
        <shadow val="0"/>
        <u val="none"/>
        <vertAlign val="baseline"/>
        <sz val="11"/>
        <color theme="0"/>
        <name val="Calibri"/>
        <family val="2"/>
        <scheme val="minor"/>
      </font>
      <fill>
        <patternFill patternType="solid">
          <fgColor theme="9"/>
          <bgColor theme="9"/>
        </patternFill>
      </fill>
      <border diagonalUp="0" diagonalDown="0">
        <left/>
        <right/>
        <top style="thin">
          <color theme="9" tint="0.39997558519241921"/>
        </top>
        <bottom style="thin">
          <color theme="9" tint="0.39997558519241921"/>
        </bottom>
        <vertical/>
        <horizontal/>
      </border>
    </dxf>
    <dxf>
      <numFmt numFmtId="0" formatCode="General"/>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border outline="0">
        <left style="thin">
          <color theme="9" tint="0.39997558519241921"/>
        </left>
      </border>
    </dxf>
    <dxf>
      <fill>
        <patternFill patternType="none">
          <fgColor indexed="64"/>
          <bgColor indexed="65"/>
        </patternFill>
      </fill>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border outline="0">
        <left style="thin">
          <color theme="9" tint="0.39997558519241921"/>
        </left>
      </border>
    </dxf>
    <dxf>
      <fill>
        <patternFill patternType="none">
          <fgColor indexed="64"/>
          <bgColor indexed="65"/>
        </patternFill>
      </fill>
    </dxf>
    <dxf>
      <numFmt numFmtId="13" formatCode="0%"/>
    </dxf>
    <dxf>
      <numFmt numFmtId="13" formatCode="0%"/>
    </dxf>
    <dxf>
      <numFmt numFmtId="13" formatCode="0%"/>
    </dxf>
    <dxf>
      <border outline="0">
        <left style="thin">
          <color theme="9" tint="0.39997558519241921"/>
        </left>
      </border>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INFLATION.xlsx]random data!PivotTable1</c:name>
    <c:fmtId val="17"/>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'random data'!$C$233</c:f>
              <c:strCache>
                <c:ptCount val="1"/>
                <c:pt idx="0">
                  <c:v>Food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data'!$B$234:$B$239</c:f>
              <c:strCache>
                <c:ptCount val="5"/>
                <c:pt idx="0">
                  <c:v>2018</c:v>
                </c:pt>
                <c:pt idx="1">
                  <c:v>2019</c:v>
                </c:pt>
                <c:pt idx="2">
                  <c:v>2020</c:v>
                </c:pt>
                <c:pt idx="3">
                  <c:v>2021</c:v>
                </c:pt>
                <c:pt idx="4">
                  <c:v>2022</c:v>
                </c:pt>
              </c:strCache>
            </c:strRef>
          </c:cat>
          <c:val>
            <c:numRef>
              <c:f>'random data'!$C$234:$C$239</c:f>
              <c:numCache>
                <c:formatCode>0%</c:formatCode>
                <c:ptCount val="5"/>
                <c:pt idx="0">
                  <c:v>1.1871357651629737E-2</c:v>
                </c:pt>
                <c:pt idx="1">
                  <c:v>3.1196672354948805E-2</c:v>
                </c:pt>
                <c:pt idx="2">
                  <c:v>7.1417489786419888E-2</c:v>
                </c:pt>
                <c:pt idx="3">
                  <c:v>8.9873539916980091E-2</c:v>
                </c:pt>
                <c:pt idx="4">
                  <c:v>6.0141718334809857E-2</c:v>
                </c:pt>
              </c:numCache>
            </c:numRef>
          </c:val>
          <c:extLst>
            <c:ext xmlns:c16="http://schemas.microsoft.com/office/drawing/2014/chart" uri="{C3380CC4-5D6E-409C-BE32-E72D297353CC}">
              <c16:uniqueId val="{00000000-4489-47C2-BCDA-AB86821775FB}"/>
            </c:ext>
          </c:extLst>
        </c:ser>
        <c:ser>
          <c:idx val="1"/>
          <c:order val="1"/>
          <c:tx>
            <c:strRef>
              <c:f>'random data'!$D$233</c:f>
              <c:strCache>
                <c:ptCount val="1"/>
                <c:pt idx="0">
                  <c:v>Health </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data'!$B$234:$B$239</c:f>
              <c:strCache>
                <c:ptCount val="5"/>
                <c:pt idx="0">
                  <c:v>2018</c:v>
                </c:pt>
                <c:pt idx="1">
                  <c:v>2019</c:v>
                </c:pt>
                <c:pt idx="2">
                  <c:v>2020</c:v>
                </c:pt>
                <c:pt idx="3">
                  <c:v>2021</c:v>
                </c:pt>
                <c:pt idx="4">
                  <c:v>2022</c:v>
                </c:pt>
              </c:strCache>
            </c:strRef>
          </c:cat>
          <c:val>
            <c:numRef>
              <c:f>'random data'!$D$234:$D$239</c:f>
              <c:numCache>
                <c:formatCode>0%</c:formatCode>
                <c:ptCount val="5"/>
                <c:pt idx="0">
                  <c:v>6.0113728675873321E-2</c:v>
                </c:pt>
                <c:pt idx="1">
                  <c:v>6.6666666666666582E-2</c:v>
                </c:pt>
                <c:pt idx="2">
                  <c:v>4.1666666666666755E-2</c:v>
                </c:pt>
                <c:pt idx="3">
                  <c:v>8.2068965517241424E-2</c:v>
                </c:pt>
                <c:pt idx="4">
                  <c:v>7.2020395156150302E-2</c:v>
                </c:pt>
              </c:numCache>
            </c:numRef>
          </c:val>
          <c:extLst>
            <c:ext xmlns:c16="http://schemas.microsoft.com/office/drawing/2014/chart" uri="{C3380CC4-5D6E-409C-BE32-E72D297353CC}">
              <c16:uniqueId val="{00000001-4489-47C2-BCDA-AB86821775FB}"/>
            </c:ext>
          </c:extLst>
        </c:ser>
        <c:dLbls>
          <c:dLblPos val="outEnd"/>
          <c:showLegendKey val="0"/>
          <c:showVal val="1"/>
          <c:showCatName val="0"/>
          <c:showSerName val="0"/>
          <c:showPercent val="0"/>
          <c:showBubbleSize val="0"/>
        </c:dLbls>
        <c:gapWidth val="315"/>
        <c:overlap val="-40"/>
        <c:axId val="1835108960"/>
        <c:axId val="1835119520"/>
      </c:barChart>
      <c:catAx>
        <c:axId val="18351089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5119520"/>
        <c:crosses val="autoZero"/>
        <c:auto val="1"/>
        <c:lblAlgn val="ctr"/>
        <c:lblOffset val="100"/>
        <c:noMultiLvlLbl val="0"/>
      </c:catAx>
      <c:valAx>
        <c:axId val="18351195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5108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INFLATION.xlsx]random data!PivotTable3</c:name>
    <c:fmtId val="19"/>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'random data'!$H$234</c:f>
              <c:strCache>
                <c:ptCount val="1"/>
                <c:pt idx="0">
                  <c:v>Food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data'!$G$235:$G$240</c:f>
              <c:strCache>
                <c:ptCount val="5"/>
                <c:pt idx="0">
                  <c:v>2018</c:v>
                </c:pt>
                <c:pt idx="1">
                  <c:v>2019</c:v>
                </c:pt>
                <c:pt idx="2">
                  <c:v>2020</c:v>
                </c:pt>
                <c:pt idx="3">
                  <c:v>2021</c:v>
                </c:pt>
                <c:pt idx="4">
                  <c:v>2022</c:v>
                </c:pt>
              </c:strCache>
            </c:strRef>
          </c:cat>
          <c:val>
            <c:numRef>
              <c:f>'random data'!$H$235:$H$240</c:f>
              <c:numCache>
                <c:formatCode>0%</c:formatCode>
                <c:ptCount val="5"/>
                <c:pt idx="0">
                  <c:v>2.5912017167381951E-2</c:v>
                </c:pt>
                <c:pt idx="1">
                  <c:v>7.3733200857606738E-3</c:v>
                </c:pt>
                <c:pt idx="2">
                  <c:v>7.2778239202657705E-2</c:v>
                </c:pt>
                <c:pt idx="3">
                  <c:v>7.7857350237104467E-2</c:v>
                </c:pt>
                <c:pt idx="4">
                  <c:v>6.7519640852974225E-2</c:v>
                </c:pt>
              </c:numCache>
            </c:numRef>
          </c:val>
          <c:extLst>
            <c:ext xmlns:c16="http://schemas.microsoft.com/office/drawing/2014/chart" uri="{C3380CC4-5D6E-409C-BE32-E72D297353CC}">
              <c16:uniqueId val="{00000000-7843-4446-B4D4-FD1CC5B2DC42}"/>
            </c:ext>
          </c:extLst>
        </c:ser>
        <c:ser>
          <c:idx val="1"/>
          <c:order val="1"/>
          <c:tx>
            <c:strRef>
              <c:f>'random data'!$I$234</c:f>
              <c:strCache>
                <c:ptCount val="1"/>
                <c:pt idx="0">
                  <c:v>Health </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data'!$G$235:$G$240</c:f>
              <c:strCache>
                <c:ptCount val="5"/>
                <c:pt idx="0">
                  <c:v>2018</c:v>
                </c:pt>
                <c:pt idx="1">
                  <c:v>2019</c:v>
                </c:pt>
                <c:pt idx="2">
                  <c:v>2020</c:v>
                </c:pt>
                <c:pt idx="3">
                  <c:v>2021</c:v>
                </c:pt>
                <c:pt idx="4">
                  <c:v>2022</c:v>
                </c:pt>
              </c:strCache>
            </c:strRef>
          </c:cat>
          <c:val>
            <c:numRef>
              <c:f>'random data'!$I$235:$I$240</c:f>
              <c:numCache>
                <c:formatCode>0%</c:formatCode>
                <c:ptCount val="5"/>
                <c:pt idx="0">
                  <c:v>5.0860719874804491E-2</c:v>
                </c:pt>
                <c:pt idx="1">
                  <c:v>8.8607594936708681E-2</c:v>
                </c:pt>
                <c:pt idx="2">
                  <c:v>4.1723666210670474E-2</c:v>
                </c:pt>
                <c:pt idx="3">
                  <c:v>6.1720288903479817E-2</c:v>
                </c:pt>
                <c:pt idx="4">
                  <c:v>6.9882498453927105E-2</c:v>
                </c:pt>
              </c:numCache>
            </c:numRef>
          </c:val>
          <c:extLst>
            <c:ext xmlns:c16="http://schemas.microsoft.com/office/drawing/2014/chart" uri="{C3380CC4-5D6E-409C-BE32-E72D297353CC}">
              <c16:uniqueId val="{00000001-7843-4446-B4D4-FD1CC5B2DC42}"/>
            </c:ext>
          </c:extLst>
        </c:ser>
        <c:dLbls>
          <c:dLblPos val="outEnd"/>
          <c:showLegendKey val="0"/>
          <c:showVal val="1"/>
          <c:showCatName val="0"/>
          <c:showSerName val="0"/>
          <c:showPercent val="0"/>
          <c:showBubbleSize val="0"/>
        </c:dLbls>
        <c:gapWidth val="315"/>
        <c:overlap val="-40"/>
        <c:axId val="1835038400"/>
        <c:axId val="1835038880"/>
      </c:barChart>
      <c:catAx>
        <c:axId val="18350384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5038880"/>
        <c:crosses val="autoZero"/>
        <c:auto val="1"/>
        <c:lblAlgn val="ctr"/>
        <c:lblOffset val="100"/>
        <c:noMultiLvlLbl val="0"/>
      </c:catAx>
      <c:valAx>
        <c:axId val="18350388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5038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INFLATION.xlsx]random data!PivotTable4</c:name>
    <c:fmtId val="19"/>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'random data'!$M$234</c:f>
              <c:strCache>
                <c:ptCount val="1"/>
                <c:pt idx="0">
                  <c:v>Food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data'!$L$235:$L$240</c:f>
              <c:strCache>
                <c:ptCount val="5"/>
                <c:pt idx="0">
                  <c:v>2018</c:v>
                </c:pt>
                <c:pt idx="1">
                  <c:v>2019</c:v>
                </c:pt>
                <c:pt idx="2">
                  <c:v>2020</c:v>
                </c:pt>
                <c:pt idx="3">
                  <c:v>2021</c:v>
                </c:pt>
                <c:pt idx="4">
                  <c:v>2022</c:v>
                </c:pt>
              </c:strCache>
            </c:strRef>
          </c:cat>
          <c:val>
            <c:numRef>
              <c:f>'random data'!$M$235:$M$240</c:f>
              <c:numCache>
                <c:formatCode>0%</c:formatCode>
                <c:ptCount val="5"/>
                <c:pt idx="0">
                  <c:v>3.4388850323062638E-2</c:v>
                </c:pt>
                <c:pt idx="1">
                  <c:v>-6.7110629291204996E-3</c:v>
                </c:pt>
                <c:pt idx="2">
                  <c:v>7.328101450028536E-2</c:v>
                </c:pt>
                <c:pt idx="3">
                  <c:v>7.1037722144206464E-2</c:v>
                </c:pt>
                <c:pt idx="4">
                  <c:v>7.2158423003888389E-2</c:v>
                </c:pt>
              </c:numCache>
            </c:numRef>
          </c:val>
          <c:extLst>
            <c:ext xmlns:c16="http://schemas.microsoft.com/office/drawing/2014/chart" uri="{C3380CC4-5D6E-409C-BE32-E72D297353CC}">
              <c16:uniqueId val="{00000000-2412-4649-99C2-EEB9ED7115BD}"/>
            </c:ext>
          </c:extLst>
        </c:ser>
        <c:ser>
          <c:idx val="1"/>
          <c:order val="1"/>
          <c:tx>
            <c:strRef>
              <c:f>'random data'!$N$234</c:f>
              <c:strCache>
                <c:ptCount val="1"/>
                <c:pt idx="0">
                  <c:v>Health </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data'!$L$235:$L$240</c:f>
              <c:strCache>
                <c:ptCount val="5"/>
                <c:pt idx="0">
                  <c:v>2018</c:v>
                </c:pt>
                <c:pt idx="1">
                  <c:v>2019</c:v>
                </c:pt>
                <c:pt idx="2">
                  <c:v>2020</c:v>
                </c:pt>
                <c:pt idx="3">
                  <c:v>2021</c:v>
                </c:pt>
                <c:pt idx="4">
                  <c:v>2022</c:v>
                </c:pt>
              </c:strCache>
            </c:strRef>
          </c:cat>
          <c:val>
            <c:numRef>
              <c:f>'random data'!$N$235:$N$240</c:f>
              <c:numCache>
                <c:formatCode>0%</c:formatCode>
                <c:ptCount val="5"/>
                <c:pt idx="0">
                  <c:v>4.6707503828483876E-2</c:v>
                </c:pt>
                <c:pt idx="1">
                  <c:v>0.10021945866861755</c:v>
                </c:pt>
                <c:pt idx="2">
                  <c:v>4.1888297872340309E-2</c:v>
                </c:pt>
                <c:pt idx="3">
                  <c:v>5.0414805360561622E-2</c:v>
                </c:pt>
                <c:pt idx="4">
                  <c:v>6.9258809234507931E-2</c:v>
                </c:pt>
              </c:numCache>
            </c:numRef>
          </c:val>
          <c:extLst>
            <c:ext xmlns:c16="http://schemas.microsoft.com/office/drawing/2014/chart" uri="{C3380CC4-5D6E-409C-BE32-E72D297353CC}">
              <c16:uniqueId val="{00000001-2412-4649-99C2-EEB9ED7115BD}"/>
            </c:ext>
          </c:extLst>
        </c:ser>
        <c:dLbls>
          <c:dLblPos val="outEnd"/>
          <c:showLegendKey val="0"/>
          <c:showVal val="1"/>
          <c:showCatName val="0"/>
          <c:showSerName val="0"/>
          <c:showPercent val="0"/>
          <c:showBubbleSize val="0"/>
        </c:dLbls>
        <c:gapWidth val="315"/>
        <c:overlap val="-40"/>
        <c:axId val="2138282912"/>
        <c:axId val="2138283392"/>
      </c:barChart>
      <c:catAx>
        <c:axId val="2138282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38283392"/>
        <c:crosses val="autoZero"/>
        <c:auto val="1"/>
        <c:lblAlgn val="ctr"/>
        <c:lblOffset val="100"/>
        <c:noMultiLvlLbl val="0"/>
      </c:catAx>
      <c:valAx>
        <c:axId val="21382833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38282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Rural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'random data'!$D$270</c:f>
              <c:strCache>
                <c:ptCount val="1"/>
                <c:pt idx="0">
                  <c:v>FOOD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data'!$C$271:$C$273</c:f>
              <c:strCache>
                <c:ptCount val="3"/>
                <c:pt idx="0">
                  <c:v>Pre-Covid</c:v>
                </c:pt>
                <c:pt idx="1">
                  <c:v>Covid</c:v>
                </c:pt>
                <c:pt idx="2">
                  <c:v>Post Covid</c:v>
                </c:pt>
              </c:strCache>
            </c:strRef>
          </c:cat>
          <c:val>
            <c:numRef>
              <c:f>'random data'!$D$271:$D$273</c:f>
              <c:numCache>
                <c:formatCode>0%</c:formatCode>
                <c:ptCount val="3"/>
                <c:pt idx="0">
                  <c:v>0.01</c:v>
                </c:pt>
                <c:pt idx="1">
                  <c:v>7.328101450028536E-2</c:v>
                </c:pt>
                <c:pt idx="2">
                  <c:v>7.2158423003888389E-2</c:v>
                </c:pt>
              </c:numCache>
            </c:numRef>
          </c:val>
          <c:extLst>
            <c:ext xmlns:c16="http://schemas.microsoft.com/office/drawing/2014/chart" uri="{C3380CC4-5D6E-409C-BE32-E72D297353CC}">
              <c16:uniqueId val="{00000000-6D06-4D33-97A8-5495F27CCD51}"/>
            </c:ext>
          </c:extLst>
        </c:ser>
        <c:ser>
          <c:idx val="1"/>
          <c:order val="1"/>
          <c:tx>
            <c:strRef>
              <c:f>'random data'!$E$270</c:f>
              <c:strCache>
                <c:ptCount val="1"/>
                <c:pt idx="0">
                  <c:v>HEALTH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data'!$C$271:$C$273</c:f>
              <c:strCache>
                <c:ptCount val="3"/>
                <c:pt idx="0">
                  <c:v>Pre-Covid</c:v>
                </c:pt>
                <c:pt idx="1">
                  <c:v>Covid</c:v>
                </c:pt>
                <c:pt idx="2">
                  <c:v>Post Covid</c:v>
                </c:pt>
              </c:strCache>
            </c:strRef>
          </c:cat>
          <c:val>
            <c:numRef>
              <c:f>'random data'!$E$271:$E$273</c:f>
              <c:numCache>
                <c:formatCode>0%</c:formatCode>
                <c:ptCount val="3"/>
                <c:pt idx="0">
                  <c:v>7.0000000000000007E-2</c:v>
                </c:pt>
                <c:pt idx="1">
                  <c:v>4.1888297872340309E-2</c:v>
                </c:pt>
                <c:pt idx="2">
                  <c:v>0.06</c:v>
                </c:pt>
              </c:numCache>
            </c:numRef>
          </c:val>
          <c:extLst>
            <c:ext xmlns:c16="http://schemas.microsoft.com/office/drawing/2014/chart" uri="{C3380CC4-5D6E-409C-BE32-E72D297353CC}">
              <c16:uniqueId val="{00000001-6D06-4D33-97A8-5495F27CCD51}"/>
            </c:ext>
          </c:extLst>
        </c:ser>
        <c:ser>
          <c:idx val="2"/>
          <c:order val="2"/>
          <c:tx>
            <c:strRef>
              <c:f>'random data'!$F$270</c:f>
              <c:strCache>
                <c:ptCount val="1"/>
                <c:pt idx="0">
                  <c:v>ESSENTIAL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data'!$C$271:$C$273</c:f>
              <c:strCache>
                <c:ptCount val="3"/>
                <c:pt idx="0">
                  <c:v>Pre-Covid</c:v>
                </c:pt>
                <c:pt idx="1">
                  <c:v>Covid</c:v>
                </c:pt>
                <c:pt idx="2">
                  <c:v>Post Covid</c:v>
                </c:pt>
              </c:strCache>
            </c:strRef>
          </c:cat>
          <c:val>
            <c:numRef>
              <c:f>'random data'!$F$271:$F$273</c:f>
              <c:numCache>
                <c:formatCode>0%</c:formatCode>
                <c:ptCount val="3"/>
                <c:pt idx="0">
                  <c:v>0.05</c:v>
                </c:pt>
                <c:pt idx="1">
                  <c:v>3.4517067197306094E-2</c:v>
                </c:pt>
                <c:pt idx="2">
                  <c:v>0.06</c:v>
                </c:pt>
              </c:numCache>
            </c:numRef>
          </c:val>
          <c:extLst>
            <c:ext xmlns:c16="http://schemas.microsoft.com/office/drawing/2014/chart" uri="{C3380CC4-5D6E-409C-BE32-E72D297353CC}">
              <c16:uniqueId val="{00000002-6D06-4D33-97A8-5495F27CCD51}"/>
            </c:ext>
          </c:extLst>
        </c:ser>
        <c:dLbls>
          <c:dLblPos val="outEnd"/>
          <c:showLegendKey val="0"/>
          <c:showVal val="1"/>
          <c:showCatName val="0"/>
          <c:showSerName val="0"/>
          <c:showPercent val="0"/>
          <c:showBubbleSize val="0"/>
        </c:dLbls>
        <c:gapWidth val="315"/>
        <c:overlap val="-40"/>
        <c:axId val="928636127"/>
        <c:axId val="928641887"/>
      </c:barChart>
      <c:catAx>
        <c:axId val="9286361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8641887"/>
        <c:crosses val="autoZero"/>
        <c:auto val="1"/>
        <c:lblAlgn val="ctr"/>
        <c:lblOffset val="100"/>
        <c:noMultiLvlLbl val="0"/>
      </c:catAx>
      <c:valAx>
        <c:axId val="9286418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86361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0" i="0" u="none" strike="noStrike" cap="none" baseline="0">
                <a:effectLst/>
              </a:rPr>
              <a:t>Rural+Urban</a:t>
            </a:r>
            <a:r>
              <a:rPr lang="en-US" sz="1400" b="1" i="0" u="none" strike="noStrike" cap="none" baseline="0">
                <a:effectLst/>
              </a:rPr>
              <a:t>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'random data'!$J$270</c:f>
              <c:strCache>
                <c:ptCount val="1"/>
                <c:pt idx="0">
                  <c:v>FOOD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data'!$I$271:$I$273</c:f>
              <c:strCache>
                <c:ptCount val="3"/>
                <c:pt idx="0">
                  <c:v>Pre-Covid</c:v>
                </c:pt>
                <c:pt idx="1">
                  <c:v>Covid</c:v>
                </c:pt>
                <c:pt idx="2">
                  <c:v>Post Covid</c:v>
                </c:pt>
              </c:strCache>
            </c:strRef>
          </c:cat>
          <c:val>
            <c:numRef>
              <c:f>'random data'!$J$271:$J$273</c:f>
              <c:numCache>
                <c:formatCode>0%</c:formatCode>
                <c:ptCount val="3"/>
                <c:pt idx="0">
                  <c:v>0.02</c:v>
                </c:pt>
                <c:pt idx="1">
                  <c:v>7.2778239202657705E-2</c:v>
                </c:pt>
                <c:pt idx="2">
                  <c:v>7.0000000000000007E-2</c:v>
                </c:pt>
              </c:numCache>
            </c:numRef>
          </c:val>
          <c:extLst>
            <c:ext xmlns:c16="http://schemas.microsoft.com/office/drawing/2014/chart" uri="{C3380CC4-5D6E-409C-BE32-E72D297353CC}">
              <c16:uniqueId val="{00000000-19EE-45CD-8873-4228842C9B9E}"/>
            </c:ext>
          </c:extLst>
        </c:ser>
        <c:ser>
          <c:idx val="1"/>
          <c:order val="1"/>
          <c:tx>
            <c:strRef>
              <c:f>'random data'!$K$270</c:f>
              <c:strCache>
                <c:ptCount val="1"/>
                <c:pt idx="0">
                  <c:v>HEALTH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data'!$I$271:$I$273</c:f>
              <c:strCache>
                <c:ptCount val="3"/>
                <c:pt idx="0">
                  <c:v>Pre-Covid</c:v>
                </c:pt>
                <c:pt idx="1">
                  <c:v>Covid</c:v>
                </c:pt>
                <c:pt idx="2">
                  <c:v>Post Covid</c:v>
                </c:pt>
              </c:strCache>
            </c:strRef>
          </c:cat>
          <c:val>
            <c:numRef>
              <c:f>'random data'!$K$271:$K$273</c:f>
              <c:numCache>
                <c:formatCode>0%</c:formatCode>
                <c:ptCount val="3"/>
                <c:pt idx="0">
                  <c:v>7.0000000000000007E-2</c:v>
                </c:pt>
                <c:pt idx="1">
                  <c:v>4.1723666210670474E-2</c:v>
                </c:pt>
                <c:pt idx="2">
                  <c:v>7.0000000000000007E-2</c:v>
                </c:pt>
              </c:numCache>
            </c:numRef>
          </c:val>
          <c:extLst>
            <c:ext xmlns:c16="http://schemas.microsoft.com/office/drawing/2014/chart" uri="{C3380CC4-5D6E-409C-BE32-E72D297353CC}">
              <c16:uniqueId val="{00000001-19EE-45CD-8873-4228842C9B9E}"/>
            </c:ext>
          </c:extLst>
        </c:ser>
        <c:ser>
          <c:idx val="2"/>
          <c:order val="2"/>
          <c:tx>
            <c:strRef>
              <c:f>'random data'!$L$270</c:f>
              <c:strCache>
                <c:ptCount val="1"/>
                <c:pt idx="0">
                  <c:v>ESSENTIAL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data'!$I$271:$I$273</c:f>
              <c:strCache>
                <c:ptCount val="3"/>
                <c:pt idx="0">
                  <c:v>Pre-Covid</c:v>
                </c:pt>
                <c:pt idx="1">
                  <c:v>Covid</c:v>
                </c:pt>
                <c:pt idx="2">
                  <c:v>Post Covid</c:v>
                </c:pt>
              </c:strCache>
            </c:strRef>
          </c:cat>
          <c:val>
            <c:numRef>
              <c:f>'random data'!$L$271:$L$273</c:f>
              <c:numCache>
                <c:formatCode>0%</c:formatCode>
                <c:ptCount val="3"/>
                <c:pt idx="0">
                  <c:v>0.05</c:v>
                </c:pt>
                <c:pt idx="1">
                  <c:v>3.8641188959660233E-2</c:v>
                </c:pt>
                <c:pt idx="2">
                  <c:v>0.06</c:v>
                </c:pt>
              </c:numCache>
            </c:numRef>
          </c:val>
          <c:extLst>
            <c:ext xmlns:c16="http://schemas.microsoft.com/office/drawing/2014/chart" uri="{C3380CC4-5D6E-409C-BE32-E72D297353CC}">
              <c16:uniqueId val="{00000002-19EE-45CD-8873-4228842C9B9E}"/>
            </c:ext>
          </c:extLst>
        </c:ser>
        <c:dLbls>
          <c:dLblPos val="outEnd"/>
          <c:showLegendKey val="0"/>
          <c:showVal val="1"/>
          <c:showCatName val="0"/>
          <c:showSerName val="0"/>
          <c:showPercent val="0"/>
          <c:showBubbleSize val="0"/>
        </c:dLbls>
        <c:gapWidth val="315"/>
        <c:overlap val="-40"/>
        <c:axId val="71126831"/>
        <c:axId val="71129231"/>
      </c:barChart>
      <c:catAx>
        <c:axId val="711268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129231"/>
        <c:crosses val="autoZero"/>
        <c:auto val="1"/>
        <c:lblAlgn val="ctr"/>
        <c:lblOffset val="100"/>
        <c:noMultiLvlLbl val="0"/>
      </c:catAx>
      <c:valAx>
        <c:axId val="711292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1268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0" i="0" u="none" strike="noStrike" cap="none" baseline="0">
                <a:effectLst/>
              </a:rPr>
              <a:t>Urban</a:t>
            </a:r>
            <a:r>
              <a:rPr lang="en-US" sz="1400" b="1" i="0" u="none" strike="noStrike" cap="none" baseline="0">
                <a:effectLst/>
              </a:rPr>
              <a:t> </a:t>
            </a:r>
            <a:endParaRPr lang="en-US"/>
          </a:p>
        </c:rich>
      </c:tx>
      <c:layout>
        <c:manualLayout>
          <c:xMode val="edge"/>
          <c:yMode val="edge"/>
          <c:x val="0.40479855643044615"/>
          <c:y val="2.77777777777777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'random data'!$P$270</c:f>
              <c:strCache>
                <c:ptCount val="1"/>
                <c:pt idx="0">
                  <c:v>FOOD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data'!$O$271:$O$273</c:f>
              <c:strCache>
                <c:ptCount val="3"/>
                <c:pt idx="0">
                  <c:v>Pre-Covid</c:v>
                </c:pt>
                <c:pt idx="1">
                  <c:v>Covid</c:v>
                </c:pt>
                <c:pt idx="2">
                  <c:v>Post Covid</c:v>
                </c:pt>
              </c:strCache>
            </c:strRef>
          </c:cat>
          <c:val>
            <c:numRef>
              <c:f>'random data'!$P$271:$P$273</c:f>
              <c:numCache>
                <c:formatCode>0%</c:formatCode>
                <c:ptCount val="3"/>
                <c:pt idx="0">
                  <c:v>0.02</c:v>
                </c:pt>
                <c:pt idx="1">
                  <c:v>7.1417489786419888E-2</c:v>
                </c:pt>
                <c:pt idx="2">
                  <c:v>0.08</c:v>
                </c:pt>
              </c:numCache>
            </c:numRef>
          </c:val>
          <c:extLst>
            <c:ext xmlns:c16="http://schemas.microsoft.com/office/drawing/2014/chart" uri="{C3380CC4-5D6E-409C-BE32-E72D297353CC}">
              <c16:uniqueId val="{00000000-AE87-4A05-8029-20833452466A}"/>
            </c:ext>
          </c:extLst>
        </c:ser>
        <c:ser>
          <c:idx val="1"/>
          <c:order val="1"/>
          <c:tx>
            <c:strRef>
              <c:f>'random data'!$Q$270</c:f>
              <c:strCache>
                <c:ptCount val="1"/>
                <c:pt idx="0">
                  <c:v>HEALTH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data'!$O$271:$O$273</c:f>
              <c:strCache>
                <c:ptCount val="3"/>
                <c:pt idx="0">
                  <c:v>Pre-Covid</c:v>
                </c:pt>
                <c:pt idx="1">
                  <c:v>Covid</c:v>
                </c:pt>
                <c:pt idx="2">
                  <c:v>Post Covid</c:v>
                </c:pt>
              </c:strCache>
            </c:strRef>
          </c:cat>
          <c:val>
            <c:numRef>
              <c:f>'random data'!$Q$271:$Q$273</c:f>
              <c:numCache>
                <c:formatCode>0%</c:formatCode>
                <c:ptCount val="3"/>
                <c:pt idx="0">
                  <c:v>0.06</c:v>
                </c:pt>
                <c:pt idx="1">
                  <c:v>4.1666666666666755E-2</c:v>
                </c:pt>
                <c:pt idx="2">
                  <c:v>0.08</c:v>
                </c:pt>
              </c:numCache>
            </c:numRef>
          </c:val>
          <c:extLst>
            <c:ext xmlns:c16="http://schemas.microsoft.com/office/drawing/2014/chart" uri="{C3380CC4-5D6E-409C-BE32-E72D297353CC}">
              <c16:uniqueId val="{00000001-AE87-4A05-8029-20833452466A}"/>
            </c:ext>
          </c:extLst>
        </c:ser>
        <c:ser>
          <c:idx val="2"/>
          <c:order val="2"/>
          <c:tx>
            <c:strRef>
              <c:f>'random data'!$R$270</c:f>
              <c:strCache>
                <c:ptCount val="1"/>
                <c:pt idx="0">
                  <c:v>ESSENTIAL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data'!$O$271:$O$273</c:f>
              <c:strCache>
                <c:ptCount val="3"/>
                <c:pt idx="0">
                  <c:v>Pre-Covid</c:v>
                </c:pt>
                <c:pt idx="1">
                  <c:v>Covid</c:v>
                </c:pt>
                <c:pt idx="2">
                  <c:v>Post Covid</c:v>
                </c:pt>
              </c:strCache>
            </c:strRef>
          </c:cat>
          <c:val>
            <c:numRef>
              <c:f>'random data'!$R$271:$R$273</c:f>
              <c:numCache>
                <c:formatCode>0%</c:formatCode>
                <c:ptCount val="3"/>
                <c:pt idx="0">
                  <c:v>0.04</c:v>
                </c:pt>
                <c:pt idx="1">
                  <c:v>4.4827586206896662E-2</c:v>
                </c:pt>
                <c:pt idx="2">
                  <c:v>7.0000000000000007E-2</c:v>
                </c:pt>
              </c:numCache>
            </c:numRef>
          </c:val>
          <c:extLst>
            <c:ext xmlns:c16="http://schemas.microsoft.com/office/drawing/2014/chart" uri="{C3380CC4-5D6E-409C-BE32-E72D297353CC}">
              <c16:uniqueId val="{00000002-AE87-4A05-8029-20833452466A}"/>
            </c:ext>
          </c:extLst>
        </c:ser>
        <c:dLbls>
          <c:dLblPos val="outEnd"/>
          <c:showLegendKey val="0"/>
          <c:showVal val="1"/>
          <c:showCatName val="0"/>
          <c:showSerName val="0"/>
          <c:showPercent val="0"/>
          <c:showBubbleSize val="0"/>
        </c:dLbls>
        <c:gapWidth val="315"/>
        <c:overlap val="-40"/>
        <c:axId val="1053837423"/>
        <c:axId val="1053846543"/>
        <c:extLst>
          <c:ext xmlns:c15="http://schemas.microsoft.com/office/drawing/2012/chart" uri="{02D57815-91ED-43cb-92C2-25804820EDAC}">
            <c15:filteredBarSeries>
              <c15:ser>
                <c:idx val="3"/>
                <c:order val="3"/>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lt1">
                                <a:lumMod val="50000"/>
                              </a:schemeClr>
                            </a:solidFill>
                            <a:round/>
                          </a:ln>
                          <a:effectLst/>
                        </c:spPr>
                      </c15:leaderLines>
                    </c:ext>
                  </c:extLst>
                </c:dLbls>
                <c:cat>
                  <c:strRef>
                    <c:extLst>
                      <c:ext uri="{02D57815-91ED-43cb-92C2-25804820EDAC}">
                        <c15:formulaRef>
                          <c15:sqref>'random data'!$O$271:$O$273</c15:sqref>
                        </c15:formulaRef>
                      </c:ext>
                    </c:extLst>
                    <c:strCache>
                      <c:ptCount val="3"/>
                      <c:pt idx="0">
                        <c:v>Pre-Covid</c:v>
                      </c:pt>
                      <c:pt idx="1">
                        <c:v>Covid</c:v>
                      </c:pt>
                      <c:pt idx="2">
                        <c:v>Post Covid</c:v>
                      </c:pt>
                    </c:strCache>
                  </c:strRef>
                </c:cat>
                <c:val>
                  <c:numRef>
                    <c:extLst>
                      <c:ext uri="{02D57815-91ED-43cb-92C2-25804820EDAC}">
                        <c15:formulaRef>
                          <c15:sqref>'random data'!$N$271</c15:sqref>
                        </c15:formulaRef>
                      </c:ext>
                    </c:extLst>
                    <c:numCache>
                      <c:formatCode>General</c:formatCode>
                      <c:ptCount val="1"/>
                      <c:pt idx="0">
                        <c:v>0</c:v>
                      </c:pt>
                    </c:numCache>
                  </c:numRef>
                </c:val>
                <c:extLst>
                  <c:ext xmlns:c16="http://schemas.microsoft.com/office/drawing/2014/chart" uri="{C3380CC4-5D6E-409C-BE32-E72D297353CC}">
                    <c16:uniqueId val="{00000003-AE87-4A05-8029-20833452466A}"/>
                  </c:ext>
                </c:extLst>
              </c15:ser>
            </c15:filteredBarSeries>
          </c:ext>
        </c:extLst>
      </c:barChart>
      <c:catAx>
        <c:axId val="10538374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3846543"/>
        <c:crosses val="autoZero"/>
        <c:auto val="1"/>
        <c:lblAlgn val="ctr"/>
        <c:lblOffset val="100"/>
        <c:noMultiLvlLbl val="0"/>
      </c:catAx>
      <c:valAx>
        <c:axId val="10538465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38374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Avg. CPI Contribution Towards </a:t>
            </a:r>
            <a:r>
              <a:rPr lang="en-US"/>
              <a:t>Clothing Rural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5B4-4880-B539-29E6E734AB3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5B4-4880-B539-29E6E734AB3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5B4-4880-B539-29E6E734AB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 Question 1'!$E$144:$E$146</c:f>
              <c:strCache>
                <c:ptCount val="3"/>
                <c:pt idx="0">
                  <c:v>Clothing</c:v>
                </c:pt>
                <c:pt idx="1">
                  <c:v>Footwear</c:v>
                </c:pt>
                <c:pt idx="2">
                  <c:v>Clothing and footwear</c:v>
                </c:pt>
              </c:strCache>
            </c:strRef>
          </c:cat>
          <c:val>
            <c:numRef>
              <c:f>'Insight Question 1'!$G$144:$G$146</c:f>
              <c:numCache>
                <c:formatCode>0.0%</c:formatCode>
                <c:ptCount val="3"/>
                <c:pt idx="0">
                  <c:v>0.33549745569398132</c:v>
                </c:pt>
                <c:pt idx="1">
                  <c:v>0.32970696613440953</c:v>
                </c:pt>
                <c:pt idx="2">
                  <c:v>0.33479557817160904</c:v>
                </c:pt>
              </c:numCache>
            </c:numRef>
          </c:val>
          <c:extLst>
            <c:ext xmlns:c16="http://schemas.microsoft.com/office/drawing/2014/chart" uri="{C3380CC4-5D6E-409C-BE32-E72D297353CC}">
              <c16:uniqueId val="{00000000-30E3-4F7E-9DEB-855DE7D9516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Avg. CPI Contribution Towards Clothing </a:t>
            </a:r>
            <a:r>
              <a:rPr lang="en-US"/>
              <a:t>Rural+Urban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6AB-42C1-A2CB-A53A319349B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6AB-42C1-A2CB-A53A319349B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6AB-42C1-A2CB-A53A319349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 Question 1'!$E$144:$E$146</c:f>
              <c:strCache>
                <c:ptCount val="3"/>
                <c:pt idx="0">
                  <c:v>Clothing</c:v>
                </c:pt>
                <c:pt idx="1">
                  <c:v>Footwear</c:v>
                </c:pt>
                <c:pt idx="2">
                  <c:v>Clothing and footwear</c:v>
                </c:pt>
              </c:strCache>
            </c:strRef>
          </c:cat>
          <c:val>
            <c:numRef>
              <c:f>'Insight Question 1'!$K$144:$K$146</c:f>
              <c:numCache>
                <c:formatCode>0.0%</c:formatCode>
                <c:ptCount val="3"/>
                <c:pt idx="0">
                  <c:v>0.33857556037599423</c:v>
                </c:pt>
                <c:pt idx="1">
                  <c:v>0.32483731019522771</c:v>
                </c:pt>
                <c:pt idx="2">
                  <c:v>0.336587129428778</c:v>
                </c:pt>
              </c:numCache>
            </c:numRef>
          </c:val>
          <c:extLst>
            <c:ext xmlns:c16="http://schemas.microsoft.com/office/drawing/2014/chart" uri="{C3380CC4-5D6E-409C-BE32-E72D297353CC}">
              <c16:uniqueId val="{00000000-1C2C-4E30-A319-BBB4B685871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Contribution of Categories Towards CPI Rural</a:t>
            </a:r>
          </a:p>
        </c:rich>
      </c:tx>
      <c:layout>
        <c:manualLayout>
          <c:xMode val="edge"/>
          <c:yMode val="edge"/>
          <c:x val="0.21365557304232072"/>
          <c:y val="3.619046872712493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6D9-4CEB-A125-5F82D22B232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6D9-4CEB-A125-5F82D22B232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6D9-4CEB-A125-5F82D22B232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6D9-4CEB-A125-5F82D22B232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6D9-4CEB-A125-5F82D22B232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6D9-4CEB-A125-5F82D22B232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6D9-4CEB-A125-5F82D22B232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6D9-4CEB-A125-5F82D22B232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6D9-4CEB-A125-5F82D22B23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 Question 1'!$D$3:$D$11</c:f>
              <c:strCache>
                <c:ptCount val="9"/>
                <c:pt idx="0">
                  <c:v>Clothing</c:v>
                </c:pt>
                <c:pt idx="1">
                  <c:v>Education</c:v>
                </c:pt>
                <c:pt idx="2">
                  <c:v>Fooding</c:v>
                </c:pt>
                <c:pt idx="3">
                  <c:v>Fuel and light</c:v>
                </c:pt>
                <c:pt idx="4">
                  <c:v>Health</c:v>
                </c:pt>
                <c:pt idx="5">
                  <c:v>HOUSING</c:v>
                </c:pt>
                <c:pt idx="6">
                  <c:v>Luxury</c:v>
                </c:pt>
                <c:pt idx="7">
                  <c:v>misc</c:v>
                </c:pt>
                <c:pt idx="8">
                  <c:v>Transport and communication</c:v>
                </c:pt>
              </c:strCache>
            </c:strRef>
          </c:cat>
          <c:val>
            <c:numRef>
              <c:f>'Insight Question 1'!$F$3:$F$11</c:f>
              <c:numCache>
                <c:formatCode>0.0%</c:formatCode>
                <c:ptCount val="9"/>
                <c:pt idx="0">
                  <c:v>0.12667822530452563</c:v>
                </c:pt>
                <c:pt idx="1">
                  <c:v>4.0077353961056272E-2</c:v>
                </c:pt>
                <c:pt idx="2">
                  <c:v>0.46945852227260604</c:v>
                </c:pt>
                <c:pt idx="3">
                  <c:v>4.0566373255090236E-2</c:v>
                </c:pt>
                <c:pt idx="4">
                  <c:v>4.174446519071752E-2</c:v>
                </c:pt>
                <c:pt idx="5">
                  <c:v>3.9966213212412192E-2</c:v>
                </c:pt>
                <c:pt idx="6">
                  <c:v>0.16388814795056456</c:v>
                </c:pt>
                <c:pt idx="7">
                  <c:v>3.9899528763225736E-2</c:v>
                </c:pt>
                <c:pt idx="8">
                  <c:v>3.7721170089801713E-2</c:v>
                </c:pt>
              </c:numCache>
            </c:numRef>
          </c:val>
          <c:extLst>
            <c:ext xmlns:c16="http://schemas.microsoft.com/office/drawing/2014/chart" uri="{C3380CC4-5D6E-409C-BE32-E72D297353CC}">
              <c16:uniqueId val="{00000012-D6D9-4CEB-A125-5F82D22B2324}"/>
            </c:ext>
          </c:extLst>
        </c:ser>
        <c:dLbls>
          <c:showLegendKey val="0"/>
          <c:showVal val="0"/>
          <c:showCatName val="0"/>
          <c:showSerName val="0"/>
          <c:showPercent val="0"/>
          <c:showBubbleSize val="0"/>
          <c:showLeaderLines val="1"/>
        </c:dLbls>
        <c:firstSliceAng val="0"/>
      </c:pieChart>
      <c:spPr>
        <a:noFill/>
        <a:ln>
          <a:noFill/>
        </a:ln>
        <a:effectLst/>
      </c:spPr>
    </c:plotArea>
    <c:legend>
      <c:legendPos val="l"/>
      <c:layout>
        <c:manualLayout>
          <c:xMode val="edge"/>
          <c:yMode val="edge"/>
          <c:x val="2.6388888888888892E-4"/>
          <c:y val="2.9973456790123462E-2"/>
          <c:w val="0.20247313095846378"/>
          <c:h val="0.92361767279090101"/>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Contribution of Categories Towards CPI </a:t>
            </a:r>
            <a:r>
              <a:rPr lang="en-US"/>
              <a:t>Urban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6D2-4AAC-8834-EE2234D142D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6D2-4AAC-8834-EE2234D142D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6D2-4AAC-8834-EE2234D142D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6D2-4AAC-8834-EE2234D142D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6D2-4AAC-8834-EE2234D142D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6D2-4AAC-8834-EE2234D142D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6D2-4AAC-8834-EE2234D142D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6D2-4AAC-8834-EE2234D142D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6D2-4AAC-8834-EE2234D142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 Question 1'!$D$3:$D$11</c:f>
              <c:strCache>
                <c:ptCount val="9"/>
                <c:pt idx="0">
                  <c:v>Clothing</c:v>
                </c:pt>
                <c:pt idx="1">
                  <c:v>Education</c:v>
                </c:pt>
                <c:pt idx="2">
                  <c:v>Fooding</c:v>
                </c:pt>
                <c:pt idx="3">
                  <c:v>Fuel and light</c:v>
                </c:pt>
                <c:pt idx="4">
                  <c:v>Health</c:v>
                </c:pt>
                <c:pt idx="5">
                  <c:v>HOUSING</c:v>
                </c:pt>
                <c:pt idx="6">
                  <c:v>Luxury</c:v>
                </c:pt>
                <c:pt idx="7">
                  <c:v>misc</c:v>
                </c:pt>
                <c:pt idx="8">
                  <c:v>Transport and communication</c:v>
                </c:pt>
              </c:strCache>
            </c:strRef>
          </c:cat>
          <c:val>
            <c:numRef>
              <c:f>'Insight Question 1'!$H$3:$H$11</c:f>
              <c:numCache>
                <c:formatCode>0.0%</c:formatCode>
                <c:ptCount val="9"/>
                <c:pt idx="0">
                  <c:v>0.11392186860307267</c:v>
                </c:pt>
                <c:pt idx="1">
                  <c:v>3.7665108060936453E-2</c:v>
                </c:pt>
                <c:pt idx="2">
                  <c:v>0.46740933870585449</c:v>
                </c:pt>
                <c:pt idx="3">
                  <c:v>3.9518196901463076E-2</c:v>
                </c:pt>
                <c:pt idx="4">
                  <c:v>3.9259626365575638E-2</c:v>
                </c:pt>
                <c:pt idx="5">
                  <c:v>7.4489861880238734E-2</c:v>
                </c:pt>
                <c:pt idx="6">
                  <c:v>0.15619815122066838</c:v>
                </c:pt>
                <c:pt idx="7">
                  <c:v>3.6975586631903291E-2</c:v>
                </c:pt>
                <c:pt idx="8">
                  <c:v>3.4562261630287229E-2</c:v>
                </c:pt>
              </c:numCache>
            </c:numRef>
          </c:val>
          <c:extLst>
            <c:ext xmlns:c16="http://schemas.microsoft.com/office/drawing/2014/chart" uri="{C3380CC4-5D6E-409C-BE32-E72D297353CC}">
              <c16:uniqueId val="{00000012-D6D2-4AAC-8834-EE2234D142D9}"/>
            </c:ext>
          </c:extLst>
        </c:ser>
        <c:dLbls>
          <c:showLegendKey val="0"/>
          <c:showVal val="0"/>
          <c:showCatName val="0"/>
          <c:showSerName val="0"/>
          <c:showPercent val="0"/>
          <c:showBubbleSize val="0"/>
          <c:showLeaderLines val="1"/>
        </c:dLbls>
        <c:firstSliceAng val="0"/>
      </c:pieChart>
      <c:spPr>
        <a:noFill/>
        <a:ln>
          <a:noFill/>
        </a:ln>
        <a:effectLst/>
      </c:spPr>
    </c:plotArea>
    <c:legend>
      <c:legendPos val="l"/>
      <c:layout>
        <c:manualLayout>
          <c:xMode val="edge"/>
          <c:yMode val="edge"/>
          <c:x val="0"/>
          <c:y val="3.2699950159663149E-2"/>
          <c:w val="0.20891649428098927"/>
          <c:h val="0.92567786232912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Contribution of Categories Towards CPI </a:t>
            </a:r>
            <a:r>
              <a:rPr lang="en-US"/>
              <a:t>Rural+Urban</a:t>
            </a:r>
          </a:p>
        </c:rich>
      </c:tx>
      <c:layout>
        <c:manualLayout>
          <c:xMode val="edge"/>
          <c:yMode val="edge"/>
          <c:x val="0.2487875497300148"/>
          <c:y val="2.777772762414918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B57-4B93-AB5C-08E167FD185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B57-4B93-AB5C-08E167FD185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B57-4B93-AB5C-08E167FD185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B57-4B93-AB5C-08E167FD185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B57-4B93-AB5C-08E167FD185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B57-4B93-AB5C-08E167FD185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B57-4B93-AB5C-08E167FD185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3B57-4B93-AB5C-08E167FD185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3B57-4B93-AB5C-08E167FD18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 Question 1'!$D$3:$D$11</c:f>
              <c:strCache>
                <c:ptCount val="9"/>
                <c:pt idx="0">
                  <c:v>Clothing</c:v>
                </c:pt>
                <c:pt idx="1">
                  <c:v>Education</c:v>
                </c:pt>
                <c:pt idx="2">
                  <c:v>Fooding</c:v>
                </c:pt>
                <c:pt idx="3">
                  <c:v>Fuel and light</c:v>
                </c:pt>
                <c:pt idx="4">
                  <c:v>Health</c:v>
                </c:pt>
                <c:pt idx="5">
                  <c:v>HOUSING</c:v>
                </c:pt>
                <c:pt idx="6">
                  <c:v>Luxury</c:v>
                </c:pt>
                <c:pt idx="7">
                  <c:v>misc</c:v>
                </c:pt>
                <c:pt idx="8">
                  <c:v>Transport and communication</c:v>
                </c:pt>
              </c:strCache>
            </c:strRef>
          </c:cat>
          <c:val>
            <c:numRef>
              <c:f>'Insight Question 1'!$J$3:$J$11</c:f>
              <c:numCache>
                <c:formatCode>0.0%</c:formatCode>
                <c:ptCount val="9"/>
                <c:pt idx="0">
                  <c:v>0.11885527672739772</c:v>
                </c:pt>
                <c:pt idx="1">
                  <c:v>3.8050017188037119E-2</c:v>
                </c:pt>
                <c:pt idx="2">
                  <c:v>0.45838346510828459</c:v>
                </c:pt>
                <c:pt idx="3">
                  <c:v>3.9274664833276039E-2</c:v>
                </c:pt>
                <c:pt idx="4">
                  <c:v>3.9897731179099338E-2</c:v>
                </c:pt>
                <c:pt idx="5">
                  <c:v>7.5369542798212424E-2</c:v>
                </c:pt>
                <c:pt idx="6">
                  <c:v>0.15701271914747333</c:v>
                </c:pt>
                <c:pt idx="7">
                  <c:v>3.7749226538329315E-2</c:v>
                </c:pt>
                <c:pt idx="8">
                  <c:v>3.5407356479889997E-2</c:v>
                </c:pt>
              </c:numCache>
            </c:numRef>
          </c:val>
          <c:extLst>
            <c:ext xmlns:c16="http://schemas.microsoft.com/office/drawing/2014/chart" uri="{C3380CC4-5D6E-409C-BE32-E72D297353CC}">
              <c16:uniqueId val="{00000012-3B57-4B93-AB5C-08E167FD185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1.5847860538827259E-2"/>
          <c:y val="1.0643964165272505E-2"/>
          <c:w val="0.25734111749438215"/>
          <c:h val="0.945723943755554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Avg. CPI Contribution Towards Food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r>
              <a:rPr lang="en-US"/>
              <a:t>Urban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1"/>
        <c:ser>
          <c:idx val="1"/>
          <c:order val="1"/>
          <c:tx>
            <c:strRef>
              <c:f>'Insight Question 1'!$K$50</c:f>
              <c:strCache>
                <c:ptCount val="1"/>
                <c:pt idx="0">
                  <c:v>Contribution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BC0-4935-8C87-909BE22576B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BC0-4935-8C87-909BE22576B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BC0-4935-8C87-909BE22576B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BC0-4935-8C87-909BE22576B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BC0-4935-8C87-909BE22576B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BC0-4935-8C87-909BE22576B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BC0-4935-8C87-909BE22576B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BC0-4935-8C87-909BE22576B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BC0-4935-8C87-909BE22576B9}"/>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BC0-4935-8C87-909BE22576B9}"/>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BC0-4935-8C87-909BE22576B9}"/>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BC0-4935-8C87-909BE22576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'Insight Question 1'!$G$51:$I$62</c:f>
              <c:multiLvlStrCache>
                <c:ptCount val="12"/>
                <c:lvl>
                  <c:pt idx="0">
                    <c:v>Urban</c:v>
                  </c:pt>
                  <c:pt idx="1">
                    <c:v>Urban</c:v>
                  </c:pt>
                  <c:pt idx="2">
                    <c:v>Urban</c:v>
                  </c:pt>
                  <c:pt idx="3">
                    <c:v>Urban</c:v>
                  </c:pt>
                  <c:pt idx="4">
                    <c:v>Urban</c:v>
                  </c:pt>
                  <c:pt idx="5">
                    <c:v>Urban</c:v>
                  </c:pt>
                  <c:pt idx="6">
                    <c:v>Urban</c:v>
                  </c:pt>
                  <c:pt idx="7">
                    <c:v>Urban</c:v>
                  </c:pt>
                  <c:pt idx="8">
                    <c:v>Urban</c:v>
                  </c:pt>
                  <c:pt idx="9">
                    <c:v>Urban</c:v>
                  </c:pt>
                  <c:pt idx="10">
                    <c:v>Urban</c:v>
                  </c:pt>
                  <c:pt idx="11">
                    <c:v>Urban</c:v>
                  </c:pt>
                </c:lvl>
                <c:lvl>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lvl>
                <c:lvl>
                  <c:pt idx="0">
                    <c:v>Fooding</c:v>
                  </c:pt>
                  <c:pt idx="1">
                    <c:v>Fooding</c:v>
                  </c:pt>
                  <c:pt idx="2">
                    <c:v>Fooding</c:v>
                  </c:pt>
                  <c:pt idx="3">
                    <c:v>Fooding</c:v>
                  </c:pt>
                  <c:pt idx="4">
                    <c:v>Fooding</c:v>
                  </c:pt>
                  <c:pt idx="5">
                    <c:v>Fooding</c:v>
                  </c:pt>
                  <c:pt idx="6">
                    <c:v>Fooding</c:v>
                  </c:pt>
                  <c:pt idx="7">
                    <c:v>Fooding</c:v>
                  </c:pt>
                  <c:pt idx="8">
                    <c:v>Fooding</c:v>
                  </c:pt>
                  <c:pt idx="9">
                    <c:v>Fooding</c:v>
                  </c:pt>
                  <c:pt idx="10">
                    <c:v>Fooding</c:v>
                  </c:pt>
                  <c:pt idx="11">
                    <c:v>Fooding</c:v>
                  </c:pt>
                </c:lvl>
              </c:multiLvlStrCache>
            </c:multiLvlStrRef>
          </c:cat>
          <c:val>
            <c:numRef>
              <c:f>'Insight Question 1'!$K$51:$K$62</c:f>
              <c:numCache>
                <c:formatCode>0.0%</c:formatCode>
                <c:ptCount val="12"/>
                <c:pt idx="0">
                  <c:v>8.0536603356075959E-2</c:v>
                </c:pt>
                <c:pt idx="1">
                  <c:v>0.10114327862806563</c:v>
                </c:pt>
                <c:pt idx="2">
                  <c:v>8.1458602249677284E-2</c:v>
                </c:pt>
                <c:pt idx="3">
                  <c:v>8.2703300756039086E-2</c:v>
                </c:pt>
                <c:pt idx="4">
                  <c:v>7.5788309054029127E-2</c:v>
                </c:pt>
                <c:pt idx="5">
                  <c:v>8.1043702747556692E-2</c:v>
                </c:pt>
                <c:pt idx="6">
                  <c:v>8.5284897658122805E-2</c:v>
                </c:pt>
                <c:pt idx="7">
                  <c:v>8.1550802139037426E-2</c:v>
                </c:pt>
                <c:pt idx="8">
                  <c:v>5.725613129264244E-2</c:v>
                </c:pt>
                <c:pt idx="9">
                  <c:v>9.7685782777060665E-2</c:v>
                </c:pt>
                <c:pt idx="10">
                  <c:v>9.1139590632491219E-2</c:v>
                </c:pt>
                <c:pt idx="11">
                  <c:v>8.440899870920153E-2</c:v>
                </c:pt>
              </c:numCache>
            </c:numRef>
          </c:val>
          <c:extLst>
            <c:ext xmlns:c16="http://schemas.microsoft.com/office/drawing/2014/chart" uri="{C3380CC4-5D6E-409C-BE32-E72D297353CC}">
              <c16:uniqueId val="{00000018-CBC0-4935-8C87-909BE22576B9}"/>
            </c:ext>
          </c:extLst>
        </c:ser>
        <c:dLbls>
          <c:showLegendKey val="0"/>
          <c:showVal val="1"/>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tx>
                  <c:strRef>
                    <c:extLst>
                      <c:ext uri="{02D57815-91ED-43cb-92C2-25804820EDAC}">
                        <c15:formulaRef>
                          <c15:sqref>'Insight Question 1'!$J$50</c15:sqref>
                        </c15:formulaRef>
                      </c:ext>
                    </c:extLst>
                    <c:strCache>
                      <c:ptCount val="1"/>
                      <c:pt idx="0">
                        <c:v>CPI Value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CBC0-4935-8C87-909BE22576B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CBC0-4935-8C87-909BE22576B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CBC0-4935-8C87-909BE22576B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CBC0-4935-8C87-909BE22576B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CBC0-4935-8C87-909BE22576B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CBC0-4935-8C87-909BE22576B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CBC0-4935-8C87-909BE22576B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CBC0-4935-8C87-909BE22576B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A-CBC0-4935-8C87-909BE22576B9}"/>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CBC0-4935-8C87-909BE22576B9}"/>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CBC0-4935-8C87-909BE22576B9}"/>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0-CBC0-4935-8C87-909BE22576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uri="{CE6537A1-D6FC-4f65-9D91-7224C49458BB}"/>
                  </c:extLst>
                </c:dLbls>
                <c:cat>
                  <c:multiLvlStrRef>
                    <c:extLst>
                      <c:ext uri="{02D57815-91ED-43cb-92C2-25804820EDAC}">
                        <c15:formulaRef>
                          <c15:sqref>'Insight Question 1'!$G$51:$I$62</c15:sqref>
                        </c15:formulaRef>
                      </c:ext>
                    </c:extLst>
                    <c:multiLvlStrCache>
                      <c:ptCount val="12"/>
                      <c:lvl>
                        <c:pt idx="0">
                          <c:v>Urban</c:v>
                        </c:pt>
                        <c:pt idx="1">
                          <c:v>Urban</c:v>
                        </c:pt>
                        <c:pt idx="2">
                          <c:v>Urban</c:v>
                        </c:pt>
                        <c:pt idx="3">
                          <c:v>Urban</c:v>
                        </c:pt>
                        <c:pt idx="4">
                          <c:v>Urban</c:v>
                        </c:pt>
                        <c:pt idx="5">
                          <c:v>Urban</c:v>
                        </c:pt>
                        <c:pt idx="6">
                          <c:v>Urban</c:v>
                        </c:pt>
                        <c:pt idx="7">
                          <c:v>Urban</c:v>
                        </c:pt>
                        <c:pt idx="8">
                          <c:v>Urban</c:v>
                        </c:pt>
                        <c:pt idx="9">
                          <c:v>Urban</c:v>
                        </c:pt>
                        <c:pt idx="10">
                          <c:v>Urban</c:v>
                        </c:pt>
                        <c:pt idx="11">
                          <c:v>Urban</c:v>
                        </c:pt>
                      </c:lvl>
                      <c:lvl>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lvl>
                      <c:lvl>
                        <c:pt idx="0">
                          <c:v>Fooding</c:v>
                        </c:pt>
                        <c:pt idx="1">
                          <c:v>Fooding</c:v>
                        </c:pt>
                        <c:pt idx="2">
                          <c:v>Fooding</c:v>
                        </c:pt>
                        <c:pt idx="3">
                          <c:v>Fooding</c:v>
                        </c:pt>
                        <c:pt idx="4">
                          <c:v>Fooding</c:v>
                        </c:pt>
                        <c:pt idx="5">
                          <c:v>Fooding</c:v>
                        </c:pt>
                        <c:pt idx="6">
                          <c:v>Fooding</c:v>
                        </c:pt>
                        <c:pt idx="7">
                          <c:v>Fooding</c:v>
                        </c:pt>
                        <c:pt idx="8">
                          <c:v>Fooding</c:v>
                        </c:pt>
                        <c:pt idx="9">
                          <c:v>Fooding</c:v>
                        </c:pt>
                        <c:pt idx="10">
                          <c:v>Fooding</c:v>
                        </c:pt>
                        <c:pt idx="11">
                          <c:v>Fooding</c:v>
                        </c:pt>
                      </c:lvl>
                    </c:multiLvlStrCache>
                  </c:multiLvlStrRef>
                </c:cat>
                <c:val>
                  <c:numRef>
                    <c:extLst>
                      <c:ext uri="{02D57815-91ED-43cb-92C2-25804820EDAC}">
                        <c15:formulaRef>
                          <c15:sqref>'Insight Question 1'!$J$51:$J$62</c15:sqref>
                        </c15:formulaRef>
                      </c:ext>
                    </c:extLst>
                    <c:numCache>
                      <c:formatCode>General</c:formatCode>
                      <c:ptCount val="12"/>
                      <c:pt idx="0">
                        <c:v>174.7</c:v>
                      </c:pt>
                      <c:pt idx="1">
                        <c:v>219.4</c:v>
                      </c:pt>
                      <c:pt idx="2">
                        <c:v>176.7</c:v>
                      </c:pt>
                      <c:pt idx="3">
                        <c:v>179.4</c:v>
                      </c:pt>
                      <c:pt idx="4">
                        <c:v>164.4</c:v>
                      </c:pt>
                      <c:pt idx="5">
                        <c:v>175.8</c:v>
                      </c:pt>
                      <c:pt idx="6">
                        <c:v>185</c:v>
                      </c:pt>
                      <c:pt idx="7">
                        <c:v>176.9</c:v>
                      </c:pt>
                      <c:pt idx="8">
                        <c:v>124.2</c:v>
                      </c:pt>
                      <c:pt idx="9">
                        <c:v>211.9</c:v>
                      </c:pt>
                      <c:pt idx="10">
                        <c:v>197.7</c:v>
                      </c:pt>
                      <c:pt idx="11">
                        <c:v>183.1</c:v>
                      </c:pt>
                    </c:numCache>
                  </c:numRef>
                </c:val>
                <c:extLst>
                  <c:ext xmlns:c16="http://schemas.microsoft.com/office/drawing/2014/chart" uri="{C3380CC4-5D6E-409C-BE32-E72D297353CC}">
                    <c16:uniqueId val="{00000031-CBC0-4935-8C87-909BE22576B9}"/>
                  </c:ext>
                </c:extLst>
              </c15:ser>
            </c15:filteredPieSeries>
          </c:ext>
        </c:extLst>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Avg. CPI Contribution Towards Food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r>
              <a:rPr lang="en-US"/>
              <a:t>Rural+Urban</a:t>
            </a:r>
          </a:p>
        </c:rich>
      </c:tx>
      <c:layout>
        <c:manualLayout>
          <c:xMode val="edge"/>
          <c:yMode val="edge"/>
          <c:x val="0.21819568165390599"/>
          <c:y val="1.614786551519336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1"/>
        <c:ser>
          <c:idx val="1"/>
          <c:order val="1"/>
          <c:tx>
            <c:strRef>
              <c:f>'Insight Question 1'!$Q$50</c:f>
              <c:strCache>
                <c:ptCount val="1"/>
                <c:pt idx="0">
                  <c:v>Contribution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4F-4BC1-8E50-9E770A5C9A8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4F-4BC1-8E50-9E770A5C9A8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4F-4BC1-8E50-9E770A5C9A8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4F-4BC1-8E50-9E770A5C9A8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34F-4BC1-8E50-9E770A5C9A8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34F-4BC1-8E50-9E770A5C9A8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34F-4BC1-8E50-9E770A5C9A8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34F-4BC1-8E50-9E770A5C9A8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34F-4BC1-8E50-9E770A5C9A8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34F-4BC1-8E50-9E770A5C9A8A}"/>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34F-4BC1-8E50-9E770A5C9A8A}"/>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34F-4BC1-8E50-9E770A5C9A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'Insight Question 1'!$M$51:$O$62</c:f>
              <c:multiLvlStrCache>
                <c:ptCount val="12"/>
                <c:lvl>
                  <c:pt idx="0">
                    <c:v>Rural+Urban</c:v>
                  </c:pt>
                  <c:pt idx="1">
                    <c:v>Rural+Urban</c:v>
                  </c:pt>
                  <c:pt idx="2">
                    <c:v>Rural+Urban</c:v>
                  </c:pt>
                  <c:pt idx="3">
                    <c:v>Rural+Urban</c:v>
                  </c:pt>
                  <c:pt idx="4">
                    <c:v>Rural+Urban</c:v>
                  </c:pt>
                  <c:pt idx="5">
                    <c:v>Rural+Urban</c:v>
                  </c:pt>
                  <c:pt idx="6">
                    <c:v>Rural+Urban</c:v>
                  </c:pt>
                  <c:pt idx="7">
                    <c:v>Rural+Urban</c:v>
                  </c:pt>
                  <c:pt idx="8">
                    <c:v>Rural+Urban</c:v>
                  </c:pt>
                  <c:pt idx="9">
                    <c:v>Rural+Urban</c:v>
                  </c:pt>
                  <c:pt idx="10">
                    <c:v>Rural+Urban</c:v>
                  </c:pt>
                  <c:pt idx="11">
                    <c:v>Rural+Urban</c:v>
                  </c:pt>
                </c:lvl>
                <c:lvl>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lvl>
                <c:lvl>
                  <c:pt idx="0">
                    <c:v>Fooding</c:v>
                  </c:pt>
                  <c:pt idx="1">
                    <c:v>Fooding</c:v>
                  </c:pt>
                  <c:pt idx="2">
                    <c:v>Fooding</c:v>
                  </c:pt>
                  <c:pt idx="3">
                    <c:v>Fooding</c:v>
                  </c:pt>
                  <c:pt idx="4">
                    <c:v>Fooding</c:v>
                  </c:pt>
                  <c:pt idx="5">
                    <c:v>Fooding</c:v>
                  </c:pt>
                  <c:pt idx="6">
                    <c:v>Fooding</c:v>
                  </c:pt>
                  <c:pt idx="7">
                    <c:v>Fooding</c:v>
                  </c:pt>
                  <c:pt idx="8">
                    <c:v>Fooding</c:v>
                  </c:pt>
                  <c:pt idx="9">
                    <c:v>Fooding</c:v>
                  </c:pt>
                  <c:pt idx="10">
                    <c:v>Fooding</c:v>
                  </c:pt>
                  <c:pt idx="11">
                    <c:v>Fooding</c:v>
                  </c:pt>
                </c:lvl>
              </c:multiLvlStrCache>
            </c:multiLvlStrRef>
          </c:cat>
          <c:val>
            <c:numRef>
              <c:f>'Insight Question 1'!$Q$51:$Q$62</c:f>
              <c:numCache>
                <c:formatCode>0.0%</c:formatCode>
                <c:ptCount val="12"/>
                <c:pt idx="0">
                  <c:v>8.1415514412936485E-2</c:v>
                </c:pt>
                <c:pt idx="1">
                  <c:v>0.10044527771267871</c:v>
                </c:pt>
                <c:pt idx="2">
                  <c:v>8.1181157722052963E-2</c:v>
                </c:pt>
                <c:pt idx="3">
                  <c:v>8.413405202718538E-2</c:v>
                </c:pt>
                <c:pt idx="4">
                  <c:v>7.9681274900398405E-2</c:v>
                </c:pt>
                <c:pt idx="5">
                  <c:v>8.0712444340285905E-2</c:v>
                </c:pt>
                <c:pt idx="6">
                  <c:v>7.5462854464494966E-2</c:v>
                </c:pt>
                <c:pt idx="7">
                  <c:v>8.2306069838293874E-2</c:v>
                </c:pt>
                <c:pt idx="8">
                  <c:v>5.751113194281697E-2</c:v>
                </c:pt>
                <c:pt idx="9">
                  <c:v>0.10217951722521677</c:v>
                </c:pt>
                <c:pt idx="10">
                  <c:v>9.1024138739161001E-2</c:v>
                </c:pt>
                <c:pt idx="11">
                  <c:v>8.3946566674478557E-2</c:v>
                </c:pt>
              </c:numCache>
            </c:numRef>
          </c:val>
          <c:extLst>
            <c:ext xmlns:c16="http://schemas.microsoft.com/office/drawing/2014/chart" uri="{C3380CC4-5D6E-409C-BE32-E72D297353CC}">
              <c16:uniqueId val="{00000018-634F-4BC1-8E50-9E770A5C9A8A}"/>
            </c:ext>
          </c:extLst>
        </c:ser>
        <c:dLbls>
          <c:showLegendKey val="0"/>
          <c:showVal val="1"/>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tx>
                  <c:strRef>
                    <c:extLst>
                      <c:ext uri="{02D57815-91ED-43cb-92C2-25804820EDAC}">
                        <c15:formulaRef>
                          <c15:sqref>'Insight Question 1'!$P$50</c15:sqref>
                        </c15:formulaRef>
                      </c:ext>
                    </c:extLst>
                    <c:strCache>
                      <c:ptCount val="1"/>
                      <c:pt idx="0">
                        <c:v>CPI Value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634F-4BC1-8E50-9E770A5C9A8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634F-4BC1-8E50-9E770A5C9A8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634F-4BC1-8E50-9E770A5C9A8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634F-4BC1-8E50-9E770A5C9A8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634F-4BC1-8E50-9E770A5C9A8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634F-4BC1-8E50-9E770A5C9A8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634F-4BC1-8E50-9E770A5C9A8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634F-4BC1-8E50-9E770A5C9A8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A-634F-4BC1-8E50-9E770A5C9A8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634F-4BC1-8E50-9E770A5C9A8A}"/>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634F-4BC1-8E50-9E770A5C9A8A}"/>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0-634F-4BC1-8E50-9E770A5C9A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uri="{CE6537A1-D6FC-4f65-9D91-7224C49458BB}"/>
                  </c:extLst>
                </c:dLbls>
                <c:cat>
                  <c:multiLvlStrRef>
                    <c:extLst>
                      <c:ext uri="{02D57815-91ED-43cb-92C2-25804820EDAC}">
                        <c15:formulaRef>
                          <c15:sqref>'Insight Question 1'!$M$51:$O$62</c15:sqref>
                        </c15:formulaRef>
                      </c:ext>
                    </c:extLst>
                    <c:multiLvlStrCache>
                      <c:ptCount val="12"/>
                      <c:lvl>
                        <c:pt idx="0">
                          <c:v>Rural+Urban</c:v>
                        </c:pt>
                        <c:pt idx="1">
                          <c:v>Rural+Urban</c:v>
                        </c:pt>
                        <c:pt idx="2">
                          <c:v>Rural+Urban</c:v>
                        </c:pt>
                        <c:pt idx="3">
                          <c:v>Rural+Urban</c:v>
                        </c:pt>
                        <c:pt idx="4">
                          <c:v>Rural+Urban</c:v>
                        </c:pt>
                        <c:pt idx="5">
                          <c:v>Rural+Urban</c:v>
                        </c:pt>
                        <c:pt idx="6">
                          <c:v>Rural+Urban</c:v>
                        </c:pt>
                        <c:pt idx="7">
                          <c:v>Rural+Urban</c:v>
                        </c:pt>
                        <c:pt idx="8">
                          <c:v>Rural+Urban</c:v>
                        </c:pt>
                        <c:pt idx="9">
                          <c:v>Rural+Urban</c:v>
                        </c:pt>
                        <c:pt idx="10">
                          <c:v>Rural+Urban</c:v>
                        </c:pt>
                        <c:pt idx="11">
                          <c:v>Rural+Urban</c:v>
                        </c:pt>
                      </c:lvl>
                      <c:lvl>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lvl>
                      <c:lvl>
                        <c:pt idx="0">
                          <c:v>Fooding</c:v>
                        </c:pt>
                        <c:pt idx="1">
                          <c:v>Fooding</c:v>
                        </c:pt>
                        <c:pt idx="2">
                          <c:v>Fooding</c:v>
                        </c:pt>
                        <c:pt idx="3">
                          <c:v>Fooding</c:v>
                        </c:pt>
                        <c:pt idx="4">
                          <c:v>Fooding</c:v>
                        </c:pt>
                        <c:pt idx="5">
                          <c:v>Fooding</c:v>
                        </c:pt>
                        <c:pt idx="6">
                          <c:v>Fooding</c:v>
                        </c:pt>
                        <c:pt idx="7">
                          <c:v>Fooding</c:v>
                        </c:pt>
                        <c:pt idx="8">
                          <c:v>Fooding</c:v>
                        </c:pt>
                        <c:pt idx="9">
                          <c:v>Fooding</c:v>
                        </c:pt>
                        <c:pt idx="10">
                          <c:v>Fooding</c:v>
                        </c:pt>
                        <c:pt idx="11">
                          <c:v>Fooding</c:v>
                        </c:pt>
                      </c:lvl>
                    </c:multiLvlStrCache>
                  </c:multiLvlStrRef>
                </c:cat>
                <c:val>
                  <c:numRef>
                    <c:extLst>
                      <c:ext uri="{02D57815-91ED-43cb-92C2-25804820EDAC}">
                        <c15:formulaRef>
                          <c15:sqref>'Insight Question 1'!$P$51:$P$62</c15:sqref>
                        </c15:formulaRef>
                      </c:ext>
                    </c:extLst>
                    <c:numCache>
                      <c:formatCode>General</c:formatCode>
                      <c:ptCount val="12"/>
                      <c:pt idx="0">
                        <c:v>173.7</c:v>
                      </c:pt>
                      <c:pt idx="1">
                        <c:v>214.3</c:v>
                      </c:pt>
                      <c:pt idx="2">
                        <c:v>173.2</c:v>
                      </c:pt>
                      <c:pt idx="3">
                        <c:v>179.5</c:v>
                      </c:pt>
                      <c:pt idx="4">
                        <c:v>170</c:v>
                      </c:pt>
                      <c:pt idx="5">
                        <c:v>172.2</c:v>
                      </c:pt>
                      <c:pt idx="6">
                        <c:v>161</c:v>
                      </c:pt>
                      <c:pt idx="7">
                        <c:v>175.6</c:v>
                      </c:pt>
                      <c:pt idx="8">
                        <c:v>122.7</c:v>
                      </c:pt>
                      <c:pt idx="9">
                        <c:v>218</c:v>
                      </c:pt>
                      <c:pt idx="10">
                        <c:v>194.2</c:v>
                      </c:pt>
                      <c:pt idx="11">
                        <c:v>179.1</c:v>
                      </c:pt>
                    </c:numCache>
                  </c:numRef>
                </c:val>
                <c:extLst>
                  <c:ext xmlns:c16="http://schemas.microsoft.com/office/drawing/2014/chart" uri="{C3380CC4-5D6E-409C-BE32-E72D297353CC}">
                    <c16:uniqueId val="{00000031-634F-4BC1-8E50-9E770A5C9A8A}"/>
                  </c:ext>
                </c:extLst>
              </c15:ser>
            </c15:filteredPieSeries>
          </c:ext>
        </c:extLst>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Avg. CPI Contribution Towards Luxury</a:t>
            </a:r>
          </a:p>
          <a:p>
            <a:pPr marL="0" marR="0" lvl="0" indent="0" algn="ctr" defTabSz="914400" rtl="0" eaLnBrk="1" fontAlgn="auto" latinLnBrk="0" hangingPunct="1">
              <a:lnSpc>
                <a:spcPct val="100000"/>
              </a:lnSpc>
              <a:spcBef>
                <a:spcPts val="0"/>
              </a:spcBef>
              <a:spcAft>
                <a:spcPts val="0"/>
              </a:spcAft>
              <a:buClrTx/>
              <a:buSzTx/>
              <a:buFontTx/>
              <a:buNone/>
              <a:tabLst/>
              <a:defRPr lang="en-US">
                <a:solidFill>
                  <a:sysClr val="window" lastClr="FFFFFF">
                    <a:lumMod val="95000"/>
                  </a:sysClr>
                </a:solidFill>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Rural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F96-4AC1-9773-4FEEDC1F508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F96-4AC1-9773-4FEEDC1F508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F96-4AC1-9773-4FEEDC1F508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F96-4AC1-9773-4FEEDC1F50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 Question 1'!$E$106:$E$109</c:f>
              <c:strCache>
                <c:ptCount val="4"/>
                <c:pt idx="0">
                  <c:v>Non-alcoholic beverages</c:v>
                </c:pt>
                <c:pt idx="1">
                  <c:v>Pan, tobacco and intoxicants</c:v>
                </c:pt>
                <c:pt idx="2">
                  <c:v>Recreation and amusement</c:v>
                </c:pt>
                <c:pt idx="3">
                  <c:v>Personal care and effects</c:v>
                </c:pt>
              </c:strCache>
            </c:strRef>
          </c:cat>
          <c:val>
            <c:numRef>
              <c:f>'Insight Question 1'!$G$106:$G$109</c:f>
              <c:numCache>
                <c:formatCode>0.0%</c:formatCode>
                <c:ptCount val="4"/>
                <c:pt idx="0">
                  <c:v>0.24237081242370809</c:v>
                </c:pt>
                <c:pt idx="1">
                  <c:v>0.27112437271124373</c:v>
                </c:pt>
                <c:pt idx="2">
                  <c:v>0.23572494235724942</c:v>
                </c:pt>
                <c:pt idx="3">
                  <c:v>0.25077987250779871</c:v>
                </c:pt>
              </c:numCache>
            </c:numRef>
          </c:val>
          <c:extLst>
            <c:ext xmlns:c16="http://schemas.microsoft.com/office/drawing/2014/chart" uri="{C3380CC4-5D6E-409C-BE32-E72D297353CC}">
              <c16:uniqueId val="{00000008-5F96-4AC1-9773-4FEEDC1F508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Avg. CPI Contribution Towards Luxury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r>
              <a:rPr lang="en-US"/>
              <a:t>Urban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0D-405B-89EF-610C3819202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30D-405B-89EF-610C3819202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30D-405B-89EF-610C3819202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30D-405B-89EF-610C381920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 Question 1'!$E$106:$E$109</c:f>
              <c:strCache>
                <c:ptCount val="4"/>
                <c:pt idx="0">
                  <c:v>Non-alcoholic beverages</c:v>
                </c:pt>
                <c:pt idx="1">
                  <c:v>Pan, tobacco and intoxicants</c:v>
                </c:pt>
                <c:pt idx="2">
                  <c:v>Recreation and amusement</c:v>
                </c:pt>
                <c:pt idx="3">
                  <c:v>Personal care and effects</c:v>
                </c:pt>
              </c:strCache>
            </c:strRef>
          </c:cat>
          <c:val>
            <c:numRef>
              <c:f>'Insight Question 1'!$I$106:$I$109</c:f>
              <c:numCache>
                <c:formatCode>0.0%</c:formatCode>
                <c:ptCount val="4"/>
                <c:pt idx="0">
                  <c:v>0.22885915298661885</c:v>
                </c:pt>
                <c:pt idx="1">
                  <c:v>0.28169402676231203</c:v>
                </c:pt>
                <c:pt idx="2">
                  <c:v>0.23341150503517727</c:v>
                </c:pt>
                <c:pt idx="3">
                  <c:v>0.25603531521589185</c:v>
                </c:pt>
              </c:numCache>
            </c:numRef>
          </c:val>
          <c:extLst>
            <c:ext xmlns:c16="http://schemas.microsoft.com/office/drawing/2014/chart" uri="{C3380CC4-5D6E-409C-BE32-E72D297353CC}">
              <c16:uniqueId val="{00000008-230D-405B-89EF-610C3819202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Avg. CPI Contribution Towards Luxury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r>
              <a:rPr lang="en-US"/>
              <a:t>Rural+Urban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535-4B54-ACC6-9EFDCAE0034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535-4B54-ACC6-9EFDCAE0034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535-4B54-ACC6-9EFDCAE0034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535-4B54-ACC6-9EFDCAE003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 Question 1'!$E$106:$E$109</c:f>
              <c:strCache>
                <c:ptCount val="4"/>
                <c:pt idx="0">
                  <c:v>Non-alcoholic beverages</c:v>
                </c:pt>
                <c:pt idx="1">
                  <c:v>Pan, tobacco and intoxicants</c:v>
                </c:pt>
                <c:pt idx="2">
                  <c:v>Recreation and amusement</c:v>
                </c:pt>
                <c:pt idx="3">
                  <c:v>Personal care and effects</c:v>
                </c:pt>
              </c:strCache>
            </c:strRef>
          </c:cat>
          <c:val>
            <c:numRef>
              <c:f>'Insight Question 1'!$K$106:$K$109</c:f>
              <c:numCache>
                <c:formatCode>0.0%</c:formatCode>
                <c:ptCount val="4"/>
                <c:pt idx="0">
                  <c:v>0.23727422003284074</c:v>
                </c:pt>
                <c:pt idx="1">
                  <c:v>0.27504105090311987</c:v>
                </c:pt>
                <c:pt idx="2">
                  <c:v>0.23426382047071703</c:v>
                </c:pt>
                <c:pt idx="3">
                  <c:v>0.25342090859332239</c:v>
                </c:pt>
              </c:numCache>
            </c:numRef>
          </c:val>
          <c:extLst>
            <c:ext xmlns:c16="http://schemas.microsoft.com/office/drawing/2014/chart" uri="{C3380CC4-5D6E-409C-BE32-E72D297353CC}">
              <c16:uniqueId val="{00000008-7535-4B54-ACC6-9EFDCAE0034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Avg. CPI Contribution Towards Clothing </a:t>
            </a:r>
            <a:r>
              <a:rPr lang="en-US"/>
              <a:t>Urban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630-45E0-BC2C-34F609FE219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630-45E0-BC2C-34F609FE219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630-45E0-BC2C-34F609FE21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 Question 1'!$E$144:$E$146</c:f>
              <c:strCache>
                <c:ptCount val="3"/>
                <c:pt idx="0">
                  <c:v>Clothing</c:v>
                </c:pt>
                <c:pt idx="1">
                  <c:v>Footwear</c:v>
                </c:pt>
                <c:pt idx="2">
                  <c:v>Clothing and footwear</c:v>
                </c:pt>
              </c:strCache>
            </c:strRef>
          </c:cat>
          <c:val>
            <c:numRef>
              <c:f>'Insight Question 1'!$I$144:$I$146</c:f>
              <c:numCache>
                <c:formatCode>0.0%</c:formatCode>
                <c:ptCount val="3"/>
                <c:pt idx="0">
                  <c:v>0.34291658785700774</c:v>
                </c:pt>
                <c:pt idx="1">
                  <c:v>0.31794968791375067</c:v>
                </c:pt>
                <c:pt idx="2">
                  <c:v>0.33913372422924154</c:v>
                </c:pt>
              </c:numCache>
            </c:numRef>
          </c:val>
          <c:extLst>
            <c:ext xmlns:c16="http://schemas.microsoft.com/office/drawing/2014/chart" uri="{C3380CC4-5D6E-409C-BE32-E72D297353CC}">
              <c16:uniqueId val="{00000006-9630-45E0-BC2C-34F609FE219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Avg. CPI Contribution Towards Food</a:t>
            </a:r>
          </a:p>
          <a:p>
            <a:pPr>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Rural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1"/>
        <c:ser>
          <c:idx val="1"/>
          <c:order val="1"/>
          <c:tx>
            <c:strRef>
              <c:f>'Insight Question 1'!$E$50</c:f>
              <c:strCache>
                <c:ptCount val="1"/>
                <c:pt idx="0">
                  <c:v>Contribution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EC7-4199-A117-AB0352AF63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EC7-4199-A117-AB0352AF639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EC7-4199-A117-AB0352AF639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EC7-4199-A117-AB0352AF639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EC7-4199-A117-AB0352AF639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EC7-4199-A117-AB0352AF639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EC7-4199-A117-AB0352AF639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EC7-4199-A117-AB0352AF639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EC7-4199-A117-AB0352AF639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EC7-4199-A117-AB0352AF639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AEC7-4199-A117-AB0352AF639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AEC7-4199-A117-AB0352AF63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'Insight Question 1'!$A$51:$C$62</c:f>
              <c:multiLvlStrCache>
                <c:ptCount val="12"/>
                <c:lvl>
                  <c:pt idx="0">
                    <c:v>Rural</c:v>
                  </c:pt>
                  <c:pt idx="1">
                    <c:v>Rural</c:v>
                  </c:pt>
                  <c:pt idx="2">
                    <c:v>Rural</c:v>
                  </c:pt>
                  <c:pt idx="3">
                    <c:v>Rural</c:v>
                  </c:pt>
                  <c:pt idx="4">
                    <c:v>Rural</c:v>
                  </c:pt>
                  <c:pt idx="5">
                    <c:v>Rural</c:v>
                  </c:pt>
                  <c:pt idx="6">
                    <c:v>Rural</c:v>
                  </c:pt>
                  <c:pt idx="7">
                    <c:v>Rural</c:v>
                  </c:pt>
                  <c:pt idx="8">
                    <c:v>Rural</c:v>
                  </c:pt>
                  <c:pt idx="9">
                    <c:v>Rural</c:v>
                  </c:pt>
                  <c:pt idx="10">
                    <c:v>Rural</c:v>
                  </c:pt>
                  <c:pt idx="11">
                    <c:v>Rural</c:v>
                  </c:pt>
                </c:lvl>
                <c:lvl>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lvl>
                <c:lvl>
                  <c:pt idx="0">
                    <c:v>Fooding</c:v>
                  </c:pt>
                  <c:pt idx="1">
                    <c:v>Fooding</c:v>
                  </c:pt>
                  <c:pt idx="2">
                    <c:v>Fooding</c:v>
                  </c:pt>
                  <c:pt idx="3">
                    <c:v>Fooding</c:v>
                  </c:pt>
                  <c:pt idx="4">
                    <c:v>Fooding</c:v>
                  </c:pt>
                  <c:pt idx="5">
                    <c:v>Fooding</c:v>
                  </c:pt>
                  <c:pt idx="6">
                    <c:v>Fooding</c:v>
                  </c:pt>
                  <c:pt idx="7">
                    <c:v>Fooding</c:v>
                  </c:pt>
                  <c:pt idx="8">
                    <c:v>Fooding</c:v>
                  </c:pt>
                  <c:pt idx="9">
                    <c:v>Fooding</c:v>
                  </c:pt>
                  <c:pt idx="10">
                    <c:v>Fooding</c:v>
                  </c:pt>
                  <c:pt idx="11">
                    <c:v>Fooding</c:v>
                  </c:pt>
                </c:lvl>
              </c:multiLvlStrCache>
            </c:multiLvlStrRef>
          </c:cat>
          <c:val>
            <c:numRef>
              <c:f>'Insight Question 1'!$E$51:$E$62</c:f>
              <c:numCache>
                <c:formatCode>0.0%</c:formatCode>
                <c:ptCount val="12"/>
                <c:pt idx="0">
                  <c:v>8.2007575757575737E-2</c:v>
                </c:pt>
                <c:pt idx="1">
                  <c:v>0.10014204545454543</c:v>
                </c:pt>
                <c:pt idx="2">
                  <c:v>8.0965909090909075E-2</c:v>
                </c:pt>
                <c:pt idx="3">
                  <c:v>8.5037878787878773E-2</c:v>
                </c:pt>
                <c:pt idx="4">
                  <c:v>8.2054924242424235E-2</c:v>
                </c:pt>
                <c:pt idx="5">
                  <c:v>8.0018939393939378E-2</c:v>
                </c:pt>
                <c:pt idx="6">
                  <c:v>7.0407196969696953E-2</c:v>
                </c:pt>
                <c:pt idx="7">
                  <c:v>8.2812499999999983E-2</c:v>
                </c:pt>
                <c:pt idx="8">
                  <c:v>5.7717803030303022E-2</c:v>
                </c:pt>
                <c:pt idx="9">
                  <c:v>0.10464015151515149</c:v>
                </c:pt>
                <c:pt idx="10">
                  <c:v>9.0482954545454519E-2</c:v>
                </c:pt>
                <c:pt idx="11">
                  <c:v>8.3712121212121196E-2</c:v>
                </c:pt>
              </c:numCache>
            </c:numRef>
          </c:val>
          <c:extLst>
            <c:ext xmlns:c16="http://schemas.microsoft.com/office/drawing/2014/chart" uri="{C3380CC4-5D6E-409C-BE32-E72D297353CC}">
              <c16:uniqueId val="{00000001-D0FE-4CE5-AA3C-143673B535A3}"/>
            </c:ext>
          </c:extLst>
        </c:ser>
        <c:dLbls>
          <c:showLegendKey val="0"/>
          <c:showVal val="1"/>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tx>
                  <c:strRef>
                    <c:extLst>
                      <c:ext uri="{02D57815-91ED-43cb-92C2-25804820EDAC}">
                        <c15:formulaRef>
                          <c15:sqref>'Insight Question 1'!$D$50</c15:sqref>
                        </c15:formulaRef>
                      </c:ext>
                    </c:extLst>
                    <c:strCache>
                      <c:ptCount val="1"/>
                      <c:pt idx="0">
                        <c:v>CPI Value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AEC7-4199-A117-AB0352AF63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AEC7-4199-A117-AB0352AF639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AEC7-4199-A117-AB0352AF639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AEC7-4199-A117-AB0352AF639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AEC7-4199-A117-AB0352AF639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AEC7-4199-A117-AB0352AF639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AEC7-4199-A117-AB0352AF639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AEC7-4199-A117-AB0352AF639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AEC7-4199-A117-AB0352AF639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AEC7-4199-A117-AB0352AF639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AEC7-4199-A117-AB0352AF639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AEC7-4199-A117-AB0352AF63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uri="{CE6537A1-D6FC-4f65-9D91-7224C49458BB}"/>
                  </c:extLst>
                </c:dLbls>
                <c:cat>
                  <c:multiLvlStrRef>
                    <c:extLst>
                      <c:ext uri="{02D57815-91ED-43cb-92C2-25804820EDAC}">
                        <c15:formulaRef>
                          <c15:sqref>'Insight Question 1'!$A$51:$C$62</c15:sqref>
                        </c15:formulaRef>
                      </c:ext>
                    </c:extLst>
                    <c:multiLvlStrCache>
                      <c:ptCount val="12"/>
                      <c:lvl>
                        <c:pt idx="0">
                          <c:v>Rural</c:v>
                        </c:pt>
                        <c:pt idx="1">
                          <c:v>Rural</c:v>
                        </c:pt>
                        <c:pt idx="2">
                          <c:v>Rural</c:v>
                        </c:pt>
                        <c:pt idx="3">
                          <c:v>Rural</c:v>
                        </c:pt>
                        <c:pt idx="4">
                          <c:v>Rural</c:v>
                        </c:pt>
                        <c:pt idx="5">
                          <c:v>Rural</c:v>
                        </c:pt>
                        <c:pt idx="6">
                          <c:v>Rural</c:v>
                        </c:pt>
                        <c:pt idx="7">
                          <c:v>Rural</c:v>
                        </c:pt>
                        <c:pt idx="8">
                          <c:v>Rural</c:v>
                        </c:pt>
                        <c:pt idx="9">
                          <c:v>Rural</c:v>
                        </c:pt>
                        <c:pt idx="10">
                          <c:v>Rural</c:v>
                        </c:pt>
                        <c:pt idx="11">
                          <c:v>Rural</c:v>
                        </c:pt>
                      </c:lvl>
                      <c:lvl>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lvl>
                      <c:lvl>
                        <c:pt idx="0">
                          <c:v>Fooding</c:v>
                        </c:pt>
                        <c:pt idx="1">
                          <c:v>Fooding</c:v>
                        </c:pt>
                        <c:pt idx="2">
                          <c:v>Fooding</c:v>
                        </c:pt>
                        <c:pt idx="3">
                          <c:v>Fooding</c:v>
                        </c:pt>
                        <c:pt idx="4">
                          <c:v>Fooding</c:v>
                        </c:pt>
                        <c:pt idx="5">
                          <c:v>Fooding</c:v>
                        </c:pt>
                        <c:pt idx="6">
                          <c:v>Fooding</c:v>
                        </c:pt>
                        <c:pt idx="7">
                          <c:v>Fooding</c:v>
                        </c:pt>
                        <c:pt idx="8">
                          <c:v>Fooding</c:v>
                        </c:pt>
                        <c:pt idx="9">
                          <c:v>Fooding</c:v>
                        </c:pt>
                        <c:pt idx="10">
                          <c:v>Fooding</c:v>
                        </c:pt>
                        <c:pt idx="11">
                          <c:v>Fooding</c:v>
                        </c:pt>
                      </c:lvl>
                    </c:multiLvlStrCache>
                  </c:multiLvlStrRef>
                </c:cat>
                <c:val>
                  <c:numRef>
                    <c:extLst>
                      <c:ext uri="{02D57815-91ED-43cb-92C2-25804820EDAC}">
                        <c15:formulaRef>
                          <c15:sqref>'Insight Question 1'!$D$51:$D$62</c15:sqref>
                        </c15:formulaRef>
                      </c:ext>
                    </c:extLst>
                    <c:numCache>
                      <c:formatCode>General</c:formatCode>
                      <c:ptCount val="12"/>
                      <c:pt idx="0">
                        <c:v>173.2</c:v>
                      </c:pt>
                      <c:pt idx="1">
                        <c:v>211.5</c:v>
                      </c:pt>
                      <c:pt idx="2">
                        <c:v>171</c:v>
                      </c:pt>
                      <c:pt idx="3">
                        <c:v>179.6</c:v>
                      </c:pt>
                      <c:pt idx="4">
                        <c:v>173.3</c:v>
                      </c:pt>
                      <c:pt idx="5">
                        <c:v>169</c:v>
                      </c:pt>
                      <c:pt idx="6">
                        <c:v>148.69999999999999</c:v>
                      </c:pt>
                      <c:pt idx="7">
                        <c:v>174.9</c:v>
                      </c:pt>
                      <c:pt idx="8">
                        <c:v>121.9</c:v>
                      </c:pt>
                      <c:pt idx="9">
                        <c:v>221</c:v>
                      </c:pt>
                      <c:pt idx="10">
                        <c:v>191.1</c:v>
                      </c:pt>
                      <c:pt idx="11">
                        <c:v>176.8</c:v>
                      </c:pt>
                    </c:numCache>
                  </c:numRef>
                </c:val>
                <c:extLst>
                  <c:ext xmlns:c16="http://schemas.microsoft.com/office/drawing/2014/chart" uri="{C3380CC4-5D6E-409C-BE32-E72D297353CC}">
                    <c16:uniqueId val="{00000000-D0FE-4CE5-AA3C-143673B535A3}"/>
                  </c:ext>
                </c:extLst>
              </c15:ser>
            </c15:filteredPieSeries>
          </c:ext>
        </c:extLst>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Annual YoY CPI Growth(R+U)</a:t>
            </a:r>
          </a:p>
        </c:rich>
      </c:tx>
      <c:layout>
        <c:manualLayout>
          <c:xMode val="edge"/>
          <c:yMode val="edge"/>
          <c:x val="0.29814022756317765"/>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1"/>
          <c:order val="1"/>
          <c:tx>
            <c:strRef>
              <c:f>'Insight Question 2'!$E$1</c:f>
              <c:strCache>
                <c:ptCount val="1"/>
                <c:pt idx="0">
                  <c:v>Inflation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'Insight Question 2'!$A$2:$C$8</c15:sqref>
                  </c15:fullRef>
                  <c15:levelRef>
                    <c15:sqref>'Insight Question 2'!$B$2:$B$8</c15:sqref>
                  </c15:levelRef>
                </c:ext>
              </c:extLst>
              <c:f>'Insight Question 2'!$B$2:$B$8</c:f>
              <c:strCache>
                <c:ptCount val="7"/>
                <c:pt idx="0">
                  <c:v>2017</c:v>
                </c:pt>
                <c:pt idx="1">
                  <c:v>2018</c:v>
                </c:pt>
                <c:pt idx="2">
                  <c:v>2019</c:v>
                </c:pt>
                <c:pt idx="3">
                  <c:v>2020</c:v>
                </c:pt>
                <c:pt idx="4">
                  <c:v>2021</c:v>
                </c:pt>
                <c:pt idx="5">
                  <c:v>2022</c:v>
                </c:pt>
                <c:pt idx="6">
                  <c:v>2023</c:v>
                </c:pt>
              </c:strCache>
            </c:strRef>
          </c:cat>
          <c:val>
            <c:numRef>
              <c:f>'Insight Question 2'!$E$2:$E$8</c:f>
              <c:numCache>
                <c:formatCode>0.0%</c:formatCode>
                <c:ptCount val="7"/>
                <c:pt idx="1">
                  <c:v>4.8706240487062444E-2</c:v>
                </c:pt>
                <c:pt idx="2">
                  <c:v>3.5740335521517182E-2</c:v>
                </c:pt>
                <c:pt idx="3">
                  <c:v>6.3497652582159711E-2</c:v>
                </c:pt>
                <c:pt idx="4">
                  <c:v>6.2134422249199815E-2</c:v>
                </c:pt>
                <c:pt idx="5">
                  <c:v>7.0448877805486171E-2</c:v>
                </c:pt>
                <c:pt idx="6">
                  <c:v>4.3098427489807842E-2</c:v>
                </c:pt>
              </c:numCache>
            </c:numRef>
          </c:val>
          <c:smooth val="0"/>
          <c:extLst>
            <c:ext xmlns:c16="http://schemas.microsoft.com/office/drawing/2014/chart" uri="{C3380CC4-5D6E-409C-BE32-E72D297353CC}">
              <c16:uniqueId val="{00000001-C388-4BCE-A211-230A98D2F330}"/>
            </c:ext>
          </c:extLst>
        </c:ser>
        <c:dLbls>
          <c:dLblPos val="t"/>
          <c:showLegendKey val="0"/>
          <c:showVal val="1"/>
          <c:showCatName val="0"/>
          <c:showSerName val="0"/>
          <c:showPercent val="0"/>
          <c:showBubbleSize val="0"/>
        </c:dLbls>
        <c:smooth val="0"/>
        <c:axId val="975397184"/>
        <c:axId val="975402464"/>
        <c:extLst>
          <c:ext xmlns:c15="http://schemas.microsoft.com/office/drawing/2012/chart" uri="{02D57815-91ED-43cb-92C2-25804820EDAC}">
            <c15:filteredLineSeries>
              <c15:ser>
                <c:idx val="0"/>
                <c:order val="0"/>
                <c:tx>
                  <c:strRef>
                    <c:extLst>
                      <c:ext uri="{02D57815-91ED-43cb-92C2-25804820EDAC}">
                        <c15:formulaRef>
                          <c15:sqref>'Insight Question 2'!$D$1</c15:sqref>
                        </c15:formulaRef>
                      </c:ext>
                    </c:extLst>
                    <c:strCache>
                      <c:ptCount val="1"/>
                      <c:pt idx="0">
                        <c:v>General index</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delete val="1"/>
                </c:dLbls>
                <c:cat>
                  <c:strRef>
                    <c:extLst>
                      <c:ext uri="{02D57815-91ED-43cb-92C2-25804820EDAC}">
                        <c15:fullRef>
                          <c15:sqref>'Insight Question 2'!$A$2:$C$8</c15:sqref>
                        </c15:fullRef>
                        <c15:levelRef>
                          <c15:sqref>'Insight Question 2'!$B$2:$B$8</c15:sqref>
                        </c15:levelRef>
                        <c15:formulaRef>
                          <c15:sqref>'Insight Question 2'!$B$2:$B$8</c15:sqref>
                        </c15:formulaRef>
                      </c:ext>
                    </c:extLst>
                    <c:strCache>
                      <c:ptCount val="7"/>
                      <c:pt idx="0">
                        <c:v>2017</c:v>
                      </c:pt>
                      <c:pt idx="1">
                        <c:v>2018</c:v>
                      </c:pt>
                      <c:pt idx="2">
                        <c:v>2019</c:v>
                      </c:pt>
                      <c:pt idx="3">
                        <c:v>2020</c:v>
                      </c:pt>
                      <c:pt idx="4">
                        <c:v>2021</c:v>
                      </c:pt>
                      <c:pt idx="5">
                        <c:v>2022</c:v>
                      </c:pt>
                      <c:pt idx="6">
                        <c:v>2023</c:v>
                      </c:pt>
                    </c:strCache>
                  </c:strRef>
                </c:cat>
                <c:val>
                  <c:numRef>
                    <c:extLst>
                      <c:ext uri="{02D57815-91ED-43cb-92C2-25804820EDAC}">
                        <c15:formulaRef>
                          <c15:sqref>'Insight Question 2'!$D$2:$D$8</c15:sqref>
                        </c15:formulaRef>
                      </c:ext>
                    </c:extLst>
                    <c:numCache>
                      <c:formatCode>General</c:formatCode>
                      <c:ptCount val="7"/>
                      <c:pt idx="0">
                        <c:v>131.4</c:v>
                      </c:pt>
                      <c:pt idx="1">
                        <c:v>137.80000000000001</c:v>
                      </c:pt>
                      <c:pt idx="2">
                        <c:v>142</c:v>
                      </c:pt>
                      <c:pt idx="3" formatCode="0.00">
                        <c:v>151.01666666666668</c:v>
                      </c:pt>
                      <c:pt idx="4">
                        <c:v>160.4</c:v>
                      </c:pt>
                      <c:pt idx="5">
                        <c:v>171.7</c:v>
                      </c:pt>
                      <c:pt idx="6">
                        <c:v>179.1</c:v>
                      </c:pt>
                    </c:numCache>
                  </c:numRef>
                </c:val>
                <c:smooth val="0"/>
                <c:extLst>
                  <c:ext xmlns:c16="http://schemas.microsoft.com/office/drawing/2014/chart" uri="{C3380CC4-5D6E-409C-BE32-E72D297353CC}">
                    <c16:uniqueId val="{00000000-C388-4BCE-A211-230A98D2F330}"/>
                  </c:ext>
                </c:extLst>
              </c15:ser>
            </c15:filteredLineSeries>
          </c:ext>
        </c:extLst>
      </c:lineChart>
      <c:catAx>
        <c:axId val="9753971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402464"/>
        <c:crosses val="autoZero"/>
        <c:auto val="1"/>
        <c:lblAlgn val="ctr"/>
        <c:lblOffset val="100"/>
        <c:noMultiLvlLbl val="0"/>
      </c:catAx>
      <c:valAx>
        <c:axId val="9754024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397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[CPI INFLATION.xlsx]Insight Question 3!PivotTable3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CPI Trend Analysis (Jun 2022 – May 2023)</a:t>
            </a:r>
            <a:endParaRPr lang="en-US" sz="1400" b="0" i="0" u="none" strike="noStrike" kern="1200" spc="0" baseline="0">
              <a:ln>
                <a:solidFill>
                  <a:schemeClr val="tx1">
                    <a:alpha val="67000"/>
                  </a:schemeClr>
                </a:solidFill>
              </a:ln>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dk1">
                <a:tint val="88500"/>
              </a:schemeClr>
            </a:solidFill>
          </a:ln>
          <a:effectLst>
            <a:glow rad="139700">
              <a:schemeClr val="dk1">
                <a:tint val="88500"/>
                <a:satMod val="175000"/>
                <a:alpha val="14000"/>
              </a:schemeClr>
            </a:glow>
          </a:effectLst>
        </c:spPr>
        <c:marker>
          <c:symbol val="circle"/>
          <c:size val="4"/>
          <c:spPr>
            <a:solidFill>
              <a:schemeClr val="dk1">
                <a:tint val="88500"/>
                <a:lumMod val="60000"/>
                <a:lumOff val="40000"/>
              </a:schemeClr>
            </a:solidFill>
            <a:ln>
              <a:noFill/>
            </a:ln>
            <a:effectLst>
              <a:glow rad="63500">
                <a:schemeClr val="dk1">
                  <a:tint val="885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'Insight Question 3'!$B$50</c:f>
              <c:strCache>
                <c:ptCount val="1"/>
                <c:pt idx="0">
                  <c:v>Total</c:v>
                </c:pt>
              </c:strCache>
            </c:strRef>
          </c:tx>
          <c:spPr>
            <a:ln w="22225" cap="rnd">
              <a:solidFill>
                <a:schemeClr val="dk1">
                  <a:tint val="88500"/>
                </a:schemeClr>
              </a:solidFill>
            </a:ln>
            <a:effectLst>
              <a:glow rad="139700">
                <a:schemeClr val="dk1">
                  <a:tint val="88500"/>
                  <a:satMod val="175000"/>
                  <a:alpha val="14000"/>
                </a:schemeClr>
              </a:glow>
            </a:effectLst>
          </c:spPr>
          <c:marker>
            <c:symbol val="circle"/>
            <c:size val="4"/>
            <c:spPr>
              <a:solidFill>
                <a:schemeClr val="dk1">
                  <a:tint val="88500"/>
                  <a:lumMod val="60000"/>
                  <a:lumOff val="40000"/>
                </a:schemeClr>
              </a:solidFill>
              <a:ln>
                <a:noFill/>
              </a:ln>
              <a:effectLst>
                <a:glow rad="63500">
                  <a:schemeClr val="dk1">
                    <a:tint val="885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'Insight Question 3'!$A$51:$A$64</c:f>
              <c:strCache>
                <c:ptCount val="13"/>
                <c:pt idx="0">
                  <c:v>May-22</c:v>
                </c:pt>
                <c:pt idx="1">
                  <c:v>Jun-22</c:v>
                </c:pt>
                <c:pt idx="2">
                  <c:v>Jul-22</c:v>
                </c:pt>
                <c:pt idx="3">
                  <c:v>Aug-22</c:v>
                </c:pt>
                <c:pt idx="4">
                  <c:v>Sep-22</c:v>
                </c:pt>
                <c:pt idx="5">
                  <c:v>Oct-22</c:v>
                </c:pt>
                <c:pt idx="6">
                  <c:v>Nov-22</c:v>
                </c:pt>
                <c:pt idx="7">
                  <c:v>Dec-22</c:v>
                </c:pt>
                <c:pt idx="8">
                  <c:v>Jan-23</c:v>
                </c:pt>
                <c:pt idx="9">
                  <c:v>Feb-23</c:v>
                </c:pt>
                <c:pt idx="10">
                  <c:v>Mar-23</c:v>
                </c:pt>
                <c:pt idx="11">
                  <c:v>Apr-23</c:v>
                </c:pt>
                <c:pt idx="12">
                  <c:v>May-23</c:v>
                </c:pt>
              </c:strCache>
            </c:strRef>
          </c:cat>
          <c:val>
            <c:numRef>
              <c:f>'Insight Question 3'!$B$51:$B$64</c:f>
              <c:numCache>
                <c:formatCode>0.0</c:formatCode>
                <c:ptCount val="13"/>
                <c:pt idx="0">
                  <c:v>175.30833333333337</c:v>
                </c:pt>
                <c:pt idx="1">
                  <c:v>177.36666666666667</c:v>
                </c:pt>
                <c:pt idx="2">
                  <c:v>177.65</c:v>
                </c:pt>
                <c:pt idx="3">
                  <c:v>177.76666666666665</c:v>
                </c:pt>
                <c:pt idx="4">
                  <c:v>178.77500000000001</c:v>
                </c:pt>
                <c:pt idx="5">
                  <c:v>180.05833333333337</c:v>
                </c:pt>
                <c:pt idx="6">
                  <c:v>179.35833333333335</c:v>
                </c:pt>
                <c:pt idx="7">
                  <c:v>177.75</c:v>
                </c:pt>
                <c:pt idx="8">
                  <c:v>178.875</c:v>
                </c:pt>
                <c:pt idx="9">
                  <c:v>178.19166666666663</c:v>
                </c:pt>
                <c:pt idx="10">
                  <c:v>178.20833333333334</c:v>
                </c:pt>
                <c:pt idx="11">
                  <c:v>179.35000000000002</c:v>
                </c:pt>
                <c:pt idx="12">
                  <c:v>180.76666666666668</c:v>
                </c:pt>
              </c:numCache>
            </c:numRef>
          </c:val>
          <c:smooth val="0"/>
          <c:extLst>
            <c:ext xmlns:c16="http://schemas.microsoft.com/office/drawing/2014/chart" uri="{C3380CC4-5D6E-409C-BE32-E72D297353CC}">
              <c16:uniqueId val="{00000000-DB7F-41FF-878C-C54B232AE273}"/>
            </c:ext>
          </c:extLst>
        </c:ser>
        <c:dLbls>
          <c:dLblPos val="t"/>
          <c:showLegendKey val="0"/>
          <c:showVal val="1"/>
          <c:showCatName val="0"/>
          <c:showSerName val="0"/>
          <c:showPercent val="0"/>
          <c:showBubbleSize val="0"/>
        </c:dLbls>
        <c:marker val="1"/>
        <c:smooth val="0"/>
        <c:axId val="605013007"/>
        <c:axId val="605029807"/>
      </c:lineChart>
      <c:catAx>
        <c:axId val="6050130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5029807"/>
        <c:crosses val="autoZero"/>
        <c:auto val="1"/>
        <c:lblAlgn val="ctr"/>
        <c:lblOffset val="100"/>
        <c:noMultiLvlLbl val="0"/>
      </c:catAx>
      <c:valAx>
        <c:axId val="60502980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501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800" b="0" i="0" u="none" strike="noStrike" kern="1200" cap="all" baseline="0">
                <a:solidFill>
                  <a:sysClr val="window" lastClr="FFFFFF"/>
                </a:solidFill>
              </a:rPr>
              <a:t>Overall U + R Percentage Change</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'Insight Question 3'!$I$50</c:f>
              <c:strCache>
                <c:ptCount val="1"/>
                <c:pt idx="0">
                  <c:v>sum of % change Urban + Rural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showLeaderLines val="0"/>
              </c:ext>
            </c:extLst>
          </c:dLbls>
          <c:cat>
            <c:strRef>
              <c:f>'Insight Question 3'!$F$51:$F$62</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strCache>
            </c:strRef>
          </c:cat>
          <c:val>
            <c:numRef>
              <c:f>'Insight Question 3'!$I$51:$I$62</c:f>
              <c:numCache>
                <c:formatCode>General</c:formatCode>
                <c:ptCount val="12"/>
                <c:pt idx="0">
                  <c:v>12.1</c:v>
                </c:pt>
                <c:pt idx="1">
                  <c:v>-1.1000000000000001</c:v>
                </c:pt>
                <c:pt idx="2">
                  <c:v>7.6</c:v>
                </c:pt>
                <c:pt idx="3">
                  <c:v>8.5</c:v>
                </c:pt>
                <c:pt idx="4">
                  <c:v>-17.2</c:v>
                </c:pt>
                <c:pt idx="5">
                  <c:v>1.2</c:v>
                </c:pt>
                <c:pt idx="6">
                  <c:v>-6.6</c:v>
                </c:pt>
                <c:pt idx="7">
                  <c:v>6.4</c:v>
                </c:pt>
                <c:pt idx="8">
                  <c:v>2.5</c:v>
                </c:pt>
                <c:pt idx="9">
                  <c:v>16.600000000000001</c:v>
                </c:pt>
                <c:pt idx="10">
                  <c:v>6.2</c:v>
                </c:pt>
                <c:pt idx="11">
                  <c:v>3.3</c:v>
                </c:pt>
              </c:numCache>
            </c:numRef>
          </c:val>
          <c:extLst>
            <c:ext xmlns:c16="http://schemas.microsoft.com/office/drawing/2014/chart" uri="{C3380CC4-5D6E-409C-BE32-E72D297353CC}">
              <c16:uniqueId val="{00000000-D0D0-4FC0-B92A-B3BF02422176}"/>
            </c:ext>
          </c:extLst>
        </c:ser>
        <c:dLbls>
          <c:showLegendKey val="0"/>
          <c:showVal val="0"/>
          <c:showCatName val="0"/>
          <c:showSerName val="0"/>
          <c:showPercent val="0"/>
          <c:showBubbleSize val="0"/>
        </c:dLbls>
        <c:gapWidth val="84"/>
        <c:gapDepth val="53"/>
        <c:shape val="box"/>
        <c:axId val="1660982271"/>
        <c:axId val="1660973151"/>
        <c:axId val="0"/>
      </c:bar3DChart>
      <c:catAx>
        <c:axId val="1660982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0973151"/>
        <c:crosses val="autoZero"/>
        <c:auto val="1"/>
        <c:lblAlgn val="ctr"/>
        <c:lblOffset val="100"/>
        <c:noMultiLvlLbl val="0"/>
      </c:catAx>
      <c:valAx>
        <c:axId val="1660973151"/>
        <c:scaling>
          <c:orientation val="minMax"/>
        </c:scaling>
        <c:delete val="1"/>
        <c:axPos val="l"/>
        <c:numFmt formatCode="General" sourceLinked="1"/>
        <c:majorTickMark val="out"/>
        <c:minorTickMark val="none"/>
        <c:tickLblPos val="nextTo"/>
        <c:crossAx val="166098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800" b="0" i="0" u="none" strike="noStrike" cap="all" baseline="0"/>
              <a:t>Overall URBAN Percentage Change</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'Insight Question 3'!$H$50</c:f>
              <c:strCache>
                <c:ptCount val="1"/>
                <c:pt idx="0">
                  <c:v>sum of % change Urban</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'Insight Question 3'!$F$51:$F$62</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strCache>
            </c:strRef>
          </c:cat>
          <c:val>
            <c:numRef>
              <c:f>'Insight Question 3'!$H$51:$H$62</c:f>
              <c:numCache>
                <c:formatCode>General</c:formatCode>
                <c:ptCount val="12"/>
                <c:pt idx="0">
                  <c:v>10.9</c:v>
                </c:pt>
                <c:pt idx="1">
                  <c:v>-0.7</c:v>
                </c:pt>
                <c:pt idx="2">
                  <c:v>8.6</c:v>
                </c:pt>
                <c:pt idx="3">
                  <c:v>8.1999999999999993</c:v>
                </c:pt>
                <c:pt idx="4">
                  <c:v>-14</c:v>
                </c:pt>
                <c:pt idx="5">
                  <c:v>1.3</c:v>
                </c:pt>
                <c:pt idx="6">
                  <c:v>-7.6</c:v>
                </c:pt>
                <c:pt idx="7">
                  <c:v>7.6</c:v>
                </c:pt>
                <c:pt idx="8">
                  <c:v>2.5</c:v>
                </c:pt>
                <c:pt idx="9">
                  <c:v>15.7</c:v>
                </c:pt>
                <c:pt idx="10">
                  <c:v>6.7</c:v>
                </c:pt>
                <c:pt idx="11">
                  <c:v>3.1</c:v>
                </c:pt>
              </c:numCache>
            </c:numRef>
          </c:val>
          <c:extLst>
            <c:ext xmlns:c16="http://schemas.microsoft.com/office/drawing/2014/chart" uri="{C3380CC4-5D6E-409C-BE32-E72D297353CC}">
              <c16:uniqueId val="{00000000-1B83-4DA3-BD3A-39D4A4D0CEEB}"/>
            </c:ext>
          </c:extLst>
        </c:ser>
        <c:dLbls>
          <c:showLegendKey val="0"/>
          <c:showVal val="1"/>
          <c:showCatName val="0"/>
          <c:showSerName val="0"/>
          <c:showPercent val="0"/>
          <c:showBubbleSize val="0"/>
        </c:dLbls>
        <c:gapWidth val="84"/>
        <c:gapDepth val="53"/>
        <c:shape val="box"/>
        <c:axId val="1660983711"/>
        <c:axId val="1660984191"/>
        <c:axId val="0"/>
      </c:bar3DChart>
      <c:catAx>
        <c:axId val="1660983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0984191"/>
        <c:crosses val="autoZero"/>
        <c:auto val="1"/>
        <c:lblAlgn val="ctr"/>
        <c:lblOffset val="100"/>
        <c:noMultiLvlLbl val="0"/>
      </c:catAx>
      <c:valAx>
        <c:axId val="1660984191"/>
        <c:scaling>
          <c:orientation val="minMax"/>
        </c:scaling>
        <c:delete val="1"/>
        <c:axPos val="l"/>
        <c:numFmt formatCode="General" sourceLinked="1"/>
        <c:majorTickMark val="out"/>
        <c:minorTickMark val="none"/>
        <c:tickLblPos val="nextTo"/>
        <c:crossAx val="166098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800" b="0" i="0" u="none" strike="noStrike" cap="all" baseline="0"/>
              <a:t>Overall Rural Percentage Change</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'Insight Question 3'!$F$51:$F$62</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strCache>
            </c:strRef>
          </c:cat>
          <c:val>
            <c:numRef>
              <c:f>'Insight Question 3'!$G$51:$G$62</c:f>
              <c:numCache>
                <c:formatCode>General</c:formatCode>
                <c:ptCount val="12"/>
                <c:pt idx="0">
                  <c:v>12.6</c:v>
                </c:pt>
                <c:pt idx="1">
                  <c:v>-1.3</c:v>
                </c:pt>
                <c:pt idx="2">
                  <c:v>6.9</c:v>
                </c:pt>
                <c:pt idx="3">
                  <c:v>8.8000000000000007</c:v>
                </c:pt>
                <c:pt idx="4">
                  <c:v>-18.899999999999999</c:v>
                </c:pt>
                <c:pt idx="5">
                  <c:v>1.1000000000000001</c:v>
                </c:pt>
                <c:pt idx="6">
                  <c:v>-6</c:v>
                </c:pt>
                <c:pt idx="7">
                  <c:v>5.9</c:v>
                </c:pt>
                <c:pt idx="8">
                  <c:v>2.5</c:v>
                </c:pt>
                <c:pt idx="9">
                  <c:v>17.100000000000001</c:v>
                </c:pt>
                <c:pt idx="10">
                  <c:v>5.8</c:v>
                </c:pt>
                <c:pt idx="11">
                  <c:v>3.5</c:v>
                </c:pt>
              </c:numCache>
            </c:numRef>
          </c:val>
          <c:extLst>
            <c:ext xmlns:c16="http://schemas.microsoft.com/office/drawing/2014/chart" uri="{C3380CC4-5D6E-409C-BE32-E72D297353CC}">
              <c16:uniqueId val="{00000000-4081-416C-BBF4-3272152B043D}"/>
            </c:ext>
          </c:extLst>
        </c:ser>
        <c:dLbls>
          <c:showLegendKey val="0"/>
          <c:showVal val="1"/>
          <c:showCatName val="0"/>
          <c:showSerName val="0"/>
          <c:showPercent val="0"/>
          <c:showBubbleSize val="0"/>
        </c:dLbls>
        <c:gapWidth val="84"/>
        <c:gapDepth val="53"/>
        <c:shape val="box"/>
        <c:axId val="1855405887"/>
        <c:axId val="1855405407"/>
        <c:axId val="0"/>
      </c:bar3DChart>
      <c:catAx>
        <c:axId val="1855405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5405407"/>
        <c:crosses val="autoZero"/>
        <c:auto val="1"/>
        <c:lblAlgn val="ctr"/>
        <c:lblOffset val="100"/>
        <c:noMultiLvlLbl val="0"/>
      </c:catAx>
      <c:valAx>
        <c:axId val="1855405407"/>
        <c:scaling>
          <c:orientation val="minMax"/>
        </c:scaling>
        <c:delete val="1"/>
        <c:axPos val="l"/>
        <c:numFmt formatCode="General" sourceLinked="1"/>
        <c:majorTickMark val="out"/>
        <c:minorTickMark val="none"/>
        <c:tickLblPos val="nextTo"/>
        <c:crossAx val="185540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INFLATION.xlsx]random data!PivotTable1</c:name>
    <c:fmtId val="2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Urban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52118485189351E-2"/>
          <c:y val="0.14351851851851852"/>
          <c:w val="0.86855818022747155"/>
          <c:h val="0.64317876932050155"/>
        </c:manualLayout>
      </c:layout>
      <c:barChart>
        <c:barDir val="col"/>
        <c:grouping val="clustered"/>
        <c:varyColors val="0"/>
        <c:ser>
          <c:idx val="0"/>
          <c:order val="0"/>
          <c:tx>
            <c:strRef>
              <c:f>'random data'!$C$233</c:f>
              <c:strCache>
                <c:ptCount val="1"/>
                <c:pt idx="0">
                  <c:v>Food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data'!$B$234:$B$239</c:f>
              <c:strCache>
                <c:ptCount val="5"/>
                <c:pt idx="0">
                  <c:v>2018</c:v>
                </c:pt>
                <c:pt idx="1">
                  <c:v>2019</c:v>
                </c:pt>
                <c:pt idx="2">
                  <c:v>2020</c:v>
                </c:pt>
                <c:pt idx="3">
                  <c:v>2021</c:v>
                </c:pt>
                <c:pt idx="4">
                  <c:v>2022</c:v>
                </c:pt>
              </c:strCache>
            </c:strRef>
          </c:cat>
          <c:val>
            <c:numRef>
              <c:f>'random data'!$C$234:$C$239</c:f>
              <c:numCache>
                <c:formatCode>0%</c:formatCode>
                <c:ptCount val="5"/>
                <c:pt idx="0">
                  <c:v>1.1871357651629737E-2</c:v>
                </c:pt>
                <c:pt idx="1">
                  <c:v>3.1196672354948805E-2</c:v>
                </c:pt>
                <c:pt idx="2">
                  <c:v>7.1417489786419888E-2</c:v>
                </c:pt>
                <c:pt idx="3">
                  <c:v>8.9873539916980091E-2</c:v>
                </c:pt>
                <c:pt idx="4">
                  <c:v>6.0141718334809857E-2</c:v>
                </c:pt>
              </c:numCache>
            </c:numRef>
          </c:val>
          <c:extLst>
            <c:ext xmlns:c16="http://schemas.microsoft.com/office/drawing/2014/chart" uri="{C3380CC4-5D6E-409C-BE32-E72D297353CC}">
              <c16:uniqueId val="{00000000-F9ED-480A-BB7D-A228FD50D015}"/>
            </c:ext>
          </c:extLst>
        </c:ser>
        <c:ser>
          <c:idx val="1"/>
          <c:order val="1"/>
          <c:tx>
            <c:strRef>
              <c:f>'random data'!$D$233</c:f>
              <c:strCache>
                <c:ptCount val="1"/>
                <c:pt idx="0">
                  <c:v>Health </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data'!$B$234:$B$239</c:f>
              <c:strCache>
                <c:ptCount val="5"/>
                <c:pt idx="0">
                  <c:v>2018</c:v>
                </c:pt>
                <c:pt idx="1">
                  <c:v>2019</c:v>
                </c:pt>
                <c:pt idx="2">
                  <c:v>2020</c:v>
                </c:pt>
                <c:pt idx="3">
                  <c:v>2021</c:v>
                </c:pt>
                <c:pt idx="4">
                  <c:v>2022</c:v>
                </c:pt>
              </c:strCache>
            </c:strRef>
          </c:cat>
          <c:val>
            <c:numRef>
              <c:f>'random data'!$D$234:$D$239</c:f>
              <c:numCache>
                <c:formatCode>0%</c:formatCode>
                <c:ptCount val="5"/>
                <c:pt idx="0">
                  <c:v>6.0113728675873321E-2</c:v>
                </c:pt>
                <c:pt idx="1">
                  <c:v>6.6666666666666582E-2</c:v>
                </c:pt>
                <c:pt idx="2">
                  <c:v>4.1666666666666755E-2</c:v>
                </c:pt>
                <c:pt idx="3">
                  <c:v>8.2068965517241424E-2</c:v>
                </c:pt>
                <c:pt idx="4">
                  <c:v>7.2020395156150302E-2</c:v>
                </c:pt>
              </c:numCache>
            </c:numRef>
          </c:val>
          <c:extLst>
            <c:ext xmlns:c16="http://schemas.microsoft.com/office/drawing/2014/chart" uri="{C3380CC4-5D6E-409C-BE32-E72D297353CC}">
              <c16:uniqueId val="{00000001-F9ED-480A-BB7D-A228FD50D015}"/>
            </c:ext>
          </c:extLst>
        </c:ser>
        <c:dLbls>
          <c:dLblPos val="outEnd"/>
          <c:showLegendKey val="0"/>
          <c:showVal val="1"/>
          <c:showCatName val="0"/>
          <c:showSerName val="0"/>
          <c:showPercent val="0"/>
          <c:showBubbleSize val="0"/>
        </c:dLbls>
        <c:gapWidth val="315"/>
        <c:overlap val="-40"/>
        <c:axId val="1835108960"/>
        <c:axId val="1835119520"/>
      </c:barChart>
      <c:catAx>
        <c:axId val="18351089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5119520"/>
        <c:crosses val="autoZero"/>
        <c:auto val="1"/>
        <c:lblAlgn val="ctr"/>
        <c:lblOffset val="100"/>
        <c:noMultiLvlLbl val="0"/>
      </c:catAx>
      <c:valAx>
        <c:axId val="18351195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5108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INFLATION.xlsx]random data!PivotTable3</c:name>
    <c:fmtId val="25"/>
  </c:pivotSource>
  <c:chart>
    <c:title>
      <c:tx>
        <c:rich>
          <a:bodyPr rot="0" spcFirstLastPara="1" vertOverflow="ellipsis" vert="horz" wrap="square" anchor="ctr" anchorCtr="1"/>
          <a:lstStyle/>
          <a:p>
            <a:pPr algn="ctr" rtl="0">
              <a:defRPr lang="en-US" sz="1400" b="1" i="0" u="none" strike="noStrike" kern="1200" cap="none" baseline="0">
                <a:solidFill>
                  <a:sysClr val="window" lastClr="FFFFFF">
                    <a:lumMod val="85000"/>
                  </a:sysClr>
                </a:solidFill>
                <a:latin typeface="+mn-lt"/>
                <a:ea typeface="+mn-ea"/>
                <a:cs typeface="+mn-cs"/>
              </a:defRPr>
            </a:pPr>
            <a:r>
              <a:rPr lang="en-US" sz="1400" b="1" i="0" u="none" strike="noStrike" kern="1200" cap="none" baseline="0">
                <a:solidFill>
                  <a:sysClr val="window" lastClr="FFFFFF">
                    <a:lumMod val="85000"/>
                  </a:sysClr>
                </a:solidFill>
                <a:latin typeface="+mn-lt"/>
                <a:ea typeface="+mn-ea"/>
                <a:cs typeface="+mn-cs"/>
              </a:rPr>
              <a:t>Rural+Urban </a:t>
            </a:r>
          </a:p>
        </c:rich>
      </c:tx>
      <c:overlay val="0"/>
      <c:spPr>
        <a:noFill/>
        <a:ln>
          <a:noFill/>
        </a:ln>
        <a:effectLst/>
      </c:spPr>
      <c:txPr>
        <a:bodyPr rot="0" spcFirstLastPara="1" vertOverflow="ellipsis" vert="horz" wrap="square" anchor="ctr" anchorCtr="1"/>
        <a:lstStyle/>
        <a:p>
          <a:pPr algn="ctr" rtl="0">
            <a:defRPr lang="en-US" sz="14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27312027173076E-2"/>
          <c:y val="0.1388888888888889"/>
          <c:w val="0.87699294941073547"/>
          <c:h val="0.64780839895013131"/>
        </c:manualLayout>
      </c:layout>
      <c:barChart>
        <c:barDir val="col"/>
        <c:grouping val="clustered"/>
        <c:varyColors val="0"/>
        <c:ser>
          <c:idx val="0"/>
          <c:order val="0"/>
          <c:tx>
            <c:strRef>
              <c:f>'random data'!$H$234</c:f>
              <c:strCache>
                <c:ptCount val="1"/>
                <c:pt idx="0">
                  <c:v>Food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data'!$G$235:$G$240</c:f>
              <c:strCache>
                <c:ptCount val="5"/>
                <c:pt idx="0">
                  <c:v>2018</c:v>
                </c:pt>
                <c:pt idx="1">
                  <c:v>2019</c:v>
                </c:pt>
                <c:pt idx="2">
                  <c:v>2020</c:v>
                </c:pt>
                <c:pt idx="3">
                  <c:v>2021</c:v>
                </c:pt>
                <c:pt idx="4">
                  <c:v>2022</c:v>
                </c:pt>
              </c:strCache>
            </c:strRef>
          </c:cat>
          <c:val>
            <c:numRef>
              <c:f>'random data'!$H$235:$H$240</c:f>
              <c:numCache>
                <c:formatCode>0%</c:formatCode>
                <c:ptCount val="5"/>
                <c:pt idx="0">
                  <c:v>2.5912017167381951E-2</c:v>
                </c:pt>
                <c:pt idx="1">
                  <c:v>7.3733200857606738E-3</c:v>
                </c:pt>
                <c:pt idx="2">
                  <c:v>7.2778239202657705E-2</c:v>
                </c:pt>
                <c:pt idx="3">
                  <c:v>7.7857350237104467E-2</c:v>
                </c:pt>
                <c:pt idx="4">
                  <c:v>6.7519640852974225E-2</c:v>
                </c:pt>
              </c:numCache>
            </c:numRef>
          </c:val>
          <c:extLst>
            <c:ext xmlns:c16="http://schemas.microsoft.com/office/drawing/2014/chart" uri="{C3380CC4-5D6E-409C-BE32-E72D297353CC}">
              <c16:uniqueId val="{00000000-DEBF-430E-A74A-2E1BA5B6907B}"/>
            </c:ext>
          </c:extLst>
        </c:ser>
        <c:ser>
          <c:idx val="1"/>
          <c:order val="1"/>
          <c:tx>
            <c:strRef>
              <c:f>'random data'!$I$234</c:f>
              <c:strCache>
                <c:ptCount val="1"/>
                <c:pt idx="0">
                  <c:v>Health </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data'!$G$235:$G$240</c:f>
              <c:strCache>
                <c:ptCount val="5"/>
                <c:pt idx="0">
                  <c:v>2018</c:v>
                </c:pt>
                <c:pt idx="1">
                  <c:v>2019</c:v>
                </c:pt>
                <c:pt idx="2">
                  <c:v>2020</c:v>
                </c:pt>
                <c:pt idx="3">
                  <c:v>2021</c:v>
                </c:pt>
                <c:pt idx="4">
                  <c:v>2022</c:v>
                </c:pt>
              </c:strCache>
            </c:strRef>
          </c:cat>
          <c:val>
            <c:numRef>
              <c:f>'random data'!$I$235:$I$240</c:f>
              <c:numCache>
                <c:formatCode>0%</c:formatCode>
                <c:ptCount val="5"/>
                <c:pt idx="0">
                  <c:v>5.0860719874804491E-2</c:v>
                </c:pt>
                <c:pt idx="1">
                  <c:v>8.8607594936708681E-2</c:v>
                </c:pt>
                <c:pt idx="2">
                  <c:v>4.1723666210670474E-2</c:v>
                </c:pt>
                <c:pt idx="3">
                  <c:v>6.1720288903479817E-2</c:v>
                </c:pt>
                <c:pt idx="4">
                  <c:v>6.9882498453927105E-2</c:v>
                </c:pt>
              </c:numCache>
            </c:numRef>
          </c:val>
          <c:extLst>
            <c:ext xmlns:c16="http://schemas.microsoft.com/office/drawing/2014/chart" uri="{C3380CC4-5D6E-409C-BE32-E72D297353CC}">
              <c16:uniqueId val="{00000001-DEBF-430E-A74A-2E1BA5B6907B}"/>
            </c:ext>
          </c:extLst>
        </c:ser>
        <c:dLbls>
          <c:dLblPos val="outEnd"/>
          <c:showLegendKey val="0"/>
          <c:showVal val="1"/>
          <c:showCatName val="0"/>
          <c:showSerName val="0"/>
          <c:showPercent val="0"/>
          <c:showBubbleSize val="0"/>
        </c:dLbls>
        <c:gapWidth val="315"/>
        <c:overlap val="-40"/>
        <c:axId val="1835038400"/>
        <c:axId val="1835038880"/>
      </c:barChart>
      <c:catAx>
        <c:axId val="183503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5038880"/>
        <c:crosses val="autoZero"/>
        <c:auto val="1"/>
        <c:lblAlgn val="ctr"/>
        <c:lblOffset val="100"/>
        <c:noMultiLvlLbl val="0"/>
      </c:catAx>
      <c:valAx>
        <c:axId val="18350388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5038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INFLATION.xlsx]random data!PivotTable4</c:name>
    <c:fmtId val="23"/>
  </c:pivotSource>
  <c:chart>
    <c:title>
      <c:tx>
        <c:rich>
          <a:bodyPr rot="0" spcFirstLastPara="1" vertOverflow="ellipsis" vert="horz" wrap="square" anchor="ctr" anchorCtr="1"/>
          <a:lstStyle/>
          <a:p>
            <a:pPr algn="ctr" rtl="0">
              <a:defRPr lang="en-US" sz="1400" b="1" i="0" u="none" strike="noStrike" kern="1200" cap="none" baseline="0">
                <a:solidFill>
                  <a:sysClr val="window" lastClr="FFFFFF">
                    <a:lumMod val="85000"/>
                  </a:sysClr>
                </a:solidFill>
                <a:latin typeface="+mn-lt"/>
                <a:ea typeface="+mn-ea"/>
                <a:cs typeface="+mn-cs"/>
              </a:defRPr>
            </a:pPr>
            <a:r>
              <a:rPr lang="en-US" sz="1400" b="1" i="0" u="none" strike="noStrike" kern="1200" cap="none" baseline="0">
                <a:solidFill>
                  <a:sysClr val="window" lastClr="FFFFFF">
                    <a:lumMod val="85000"/>
                  </a:sysClr>
                </a:solidFill>
                <a:latin typeface="+mn-lt"/>
                <a:ea typeface="+mn-ea"/>
                <a:cs typeface="+mn-cs"/>
              </a:rPr>
              <a:t>Rural </a:t>
            </a:r>
          </a:p>
        </c:rich>
      </c:tx>
      <c:overlay val="0"/>
      <c:spPr>
        <a:noFill/>
        <a:ln>
          <a:noFill/>
        </a:ln>
        <a:effectLst/>
      </c:spPr>
      <c:txPr>
        <a:bodyPr rot="0" spcFirstLastPara="1" vertOverflow="ellipsis" vert="horz" wrap="square" anchor="ctr" anchorCtr="1"/>
        <a:lstStyle/>
        <a:p>
          <a:pPr algn="ctr" rtl="0">
            <a:defRPr lang="en-US" sz="14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477034120734922E-2"/>
          <c:y val="0.12962962962962962"/>
          <c:w val="0.87850888137222283"/>
          <c:h val="0.72497849227179934"/>
        </c:manualLayout>
      </c:layout>
      <c:barChart>
        <c:barDir val="col"/>
        <c:grouping val="clustered"/>
        <c:varyColors val="0"/>
        <c:ser>
          <c:idx val="0"/>
          <c:order val="0"/>
          <c:tx>
            <c:strRef>
              <c:f>'random data'!$M$234</c:f>
              <c:strCache>
                <c:ptCount val="1"/>
                <c:pt idx="0">
                  <c:v>Food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data'!$L$235:$L$240</c:f>
              <c:strCache>
                <c:ptCount val="5"/>
                <c:pt idx="0">
                  <c:v>2018</c:v>
                </c:pt>
                <c:pt idx="1">
                  <c:v>2019</c:v>
                </c:pt>
                <c:pt idx="2">
                  <c:v>2020</c:v>
                </c:pt>
                <c:pt idx="3">
                  <c:v>2021</c:v>
                </c:pt>
                <c:pt idx="4">
                  <c:v>2022</c:v>
                </c:pt>
              </c:strCache>
            </c:strRef>
          </c:cat>
          <c:val>
            <c:numRef>
              <c:f>'random data'!$M$235:$M$240</c:f>
              <c:numCache>
                <c:formatCode>0%</c:formatCode>
                <c:ptCount val="5"/>
                <c:pt idx="0">
                  <c:v>3.4388850323062638E-2</c:v>
                </c:pt>
                <c:pt idx="1">
                  <c:v>-6.7110629291204996E-3</c:v>
                </c:pt>
                <c:pt idx="2">
                  <c:v>7.328101450028536E-2</c:v>
                </c:pt>
                <c:pt idx="3">
                  <c:v>7.1037722144206464E-2</c:v>
                </c:pt>
                <c:pt idx="4">
                  <c:v>7.2158423003888389E-2</c:v>
                </c:pt>
              </c:numCache>
            </c:numRef>
          </c:val>
          <c:extLst>
            <c:ext xmlns:c16="http://schemas.microsoft.com/office/drawing/2014/chart" uri="{C3380CC4-5D6E-409C-BE32-E72D297353CC}">
              <c16:uniqueId val="{00000000-7F00-48E6-879C-6F333ED81DB1}"/>
            </c:ext>
          </c:extLst>
        </c:ser>
        <c:ser>
          <c:idx val="1"/>
          <c:order val="1"/>
          <c:tx>
            <c:strRef>
              <c:f>'random data'!$N$234</c:f>
              <c:strCache>
                <c:ptCount val="1"/>
                <c:pt idx="0">
                  <c:v>Health </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data'!$L$235:$L$240</c:f>
              <c:strCache>
                <c:ptCount val="5"/>
                <c:pt idx="0">
                  <c:v>2018</c:v>
                </c:pt>
                <c:pt idx="1">
                  <c:v>2019</c:v>
                </c:pt>
                <c:pt idx="2">
                  <c:v>2020</c:v>
                </c:pt>
                <c:pt idx="3">
                  <c:v>2021</c:v>
                </c:pt>
                <c:pt idx="4">
                  <c:v>2022</c:v>
                </c:pt>
              </c:strCache>
            </c:strRef>
          </c:cat>
          <c:val>
            <c:numRef>
              <c:f>'random data'!$N$235:$N$240</c:f>
              <c:numCache>
                <c:formatCode>0%</c:formatCode>
                <c:ptCount val="5"/>
                <c:pt idx="0">
                  <c:v>4.6707503828483876E-2</c:v>
                </c:pt>
                <c:pt idx="1">
                  <c:v>0.10021945866861755</c:v>
                </c:pt>
                <c:pt idx="2">
                  <c:v>4.1888297872340309E-2</c:v>
                </c:pt>
                <c:pt idx="3">
                  <c:v>5.0414805360561622E-2</c:v>
                </c:pt>
                <c:pt idx="4">
                  <c:v>6.9258809234507931E-2</c:v>
                </c:pt>
              </c:numCache>
            </c:numRef>
          </c:val>
          <c:extLst>
            <c:ext xmlns:c16="http://schemas.microsoft.com/office/drawing/2014/chart" uri="{C3380CC4-5D6E-409C-BE32-E72D297353CC}">
              <c16:uniqueId val="{00000001-7F00-48E6-879C-6F333ED81DB1}"/>
            </c:ext>
          </c:extLst>
        </c:ser>
        <c:dLbls>
          <c:dLblPos val="outEnd"/>
          <c:showLegendKey val="0"/>
          <c:showVal val="1"/>
          <c:showCatName val="0"/>
          <c:showSerName val="0"/>
          <c:showPercent val="0"/>
          <c:showBubbleSize val="0"/>
        </c:dLbls>
        <c:gapWidth val="315"/>
        <c:overlap val="-40"/>
        <c:axId val="2138282912"/>
        <c:axId val="2138283392"/>
      </c:barChart>
      <c:catAx>
        <c:axId val="2138282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38283392"/>
        <c:crosses val="autoZero"/>
        <c:auto val="1"/>
        <c:lblAlgn val="ctr"/>
        <c:lblOffset val="100"/>
        <c:noMultiLvlLbl val="0"/>
      </c:catAx>
      <c:valAx>
        <c:axId val="21382833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38282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Rural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'random data'!$D$270</c:f>
              <c:strCache>
                <c:ptCount val="1"/>
                <c:pt idx="0">
                  <c:v>FOOD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data'!$C$271:$C$273</c:f>
              <c:strCache>
                <c:ptCount val="3"/>
                <c:pt idx="0">
                  <c:v>Pre-Covid</c:v>
                </c:pt>
                <c:pt idx="1">
                  <c:v>Covid</c:v>
                </c:pt>
                <c:pt idx="2">
                  <c:v>Post Covid</c:v>
                </c:pt>
              </c:strCache>
            </c:strRef>
          </c:cat>
          <c:val>
            <c:numRef>
              <c:f>'random data'!$D$271:$D$273</c:f>
              <c:numCache>
                <c:formatCode>0%</c:formatCode>
                <c:ptCount val="3"/>
                <c:pt idx="0">
                  <c:v>0.01</c:v>
                </c:pt>
                <c:pt idx="1">
                  <c:v>7.328101450028536E-2</c:v>
                </c:pt>
                <c:pt idx="2">
                  <c:v>7.2158423003888389E-2</c:v>
                </c:pt>
              </c:numCache>
            </c:numRef>
          </c:val>
          <c:extLst>
            <c:ext xmlns:c16="http://schemas.microsoft.com/office/drawing/2014/chart" uri="{C3380CC4-5D6E-409C-BE32-E72D297353CC}">
              <c16:uniqueId val="{00000000-92C2-4967-BB20-566044CF6A22}"/>
            </c:ext>
          </c:extLst>
        </c:ser>
        <c:ser>
          <c:idx val="1"/>
          <c:order val="1"/>
          <c:tx>
            <c:strRef>
              <c:f>'random data'!$E$270</c:f>
              <c:strCache>
                <c:ptCount val="1"/>
                <c:pt idx="0">
                  <c:v>HEALTH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data'!$C$271:$C$273</c:f>
              <c:strCache>
                <c:ptCount val="3"/>
                <c:pt idx="0">
                  <c:v>Pre-Covid</c:v>
                </c:pt>
                <c:pt idx="1">
                  <c:v>Covid</c:v>
                </c:pt>
                <c:pt idx="2">
                  <c:v>Post Covid</c:v>
                </c:pt>
              </c:strCache>
            </c:strRef>
          </c:cat>
          <c:val>
            <c:numRef>
              <c:f>'random data'!$E$271:$E$273</c:f>
              <c:numCache>
                <c:formatCode>0%</c:formatCode>
                <c:ptCount val="3"/>
                <c:pt idx="0">
                  <c:v>7.0000000000000007E-2</c:v>
                </c:pt>
                <c:pt idx="1">
                  <c:v>4.1888297872340309E-2</c:v>
                </c:pt>
                <c:pt idx="2">
                  <c:v>0.06</c:v>
                </c:pt>
              </c:numCache>
            </c:numRef>
          </c:val>
          <c:extLst>
            <c:ext xmlns:c16="http://schemas.microsoft.com/office/drawing/2014/chart" uri="{C3380CC4-5D6E-409C-BE32-E72D297353CC}">
              <c16:uniqueId val="{00000001-92C2-4967-BB20-566044CF6A22}"/>
            </c:ext>
          </c:extLst>
        </c:ser>
        <c:ser>
          <c:idx val="2"/>
          <c:order val="2"/>
          <c:tx>
            <c:strRef>
              <c:f>'random data'!$F$270</c:f>
              <c:strCache>
                <c:ptCount val="1"/>
                <c:pt idx="0">
                  <c:v>ESSENTIAL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data'!$C$271:$C$273</c:f>
              <c:strCache>
                <c:ptCount val="3"/>
                <c:pt idx="0">
                  <c:v>Pre-Covid</c:v>
                </c:pt>
                <c:pt idx="1">
                  <c:v>Covid</c:v>
                </c:pt>
                <c:pt idx="2">
                  <c:v>Post Covid</c:v>
                </c:pt>
              </c:strCache>
            </c:strRef>
          </c:cat>
          <c:val>
            <c:numRef>
              <c:f>'random data'!$F$271:$F$273</c:f>
              <c:numCache>
                <c:formatCode>0%</c:formatCode>
                <c:ptCount val="3"/>
                <c:pt idx="0">
                  <c:v>0.05</c:v>
                </c:pt>
                <c:pt idx="1">
                  <c:v>3.4517067197306094E-2</c:v>
                </c:pt>
                <c:pt idx="2">
                  <c:v>0.06</c:v>
                </c:pt>
              </c:numCache>
            </c:numRef>
          </c:val>
          <c:extLst>
            <c:ext xmlns:c16="http://schemas.microsoft.com/office/drawing/2014/chart" uri="{C3380CC4-5D6E-409C-BE32-E72D297353CC}">
              <c16:uniqueId val="{00000002-92C2-4967-BB20-566044CF6A22}"/>
            </c:ext>
          </c:extLst>
        </c:ser>
        <c:dLbls>
          <c:dLblPos val="outEnd"/>
          <c:showLegendKey val="0"/>
          <c:showVal val="1"/>
          <c:showCatName val="0"/>
          <c:showSerName val="0"/>
          <c:showPercent val="0"/>
          <c:showBubbleSize val="0"/>
        </c:dLbls>
        <c:gapWidth val="315"/>
        <c:overlap val="-40"/>
        <c:axId val="928636127"/>
        <c:axId val="928641887"/>
      </c:barChart>
      <c:catAx>
        <c:axId val="9286361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8641887"/>
        <c:crosses val="autoZero"/>
        <c:auto val="1"/>
        <c:lblAlgn val="ctr"/>
        <c:lblOffset val="100"/>
        <c:noMultiLvlLbl val="0"/>
      </c:catAx>
      <c:valAx>
        <c:axId val="9286418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86361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0" i="0" u="none" strike="noStrike" cap="none" baseline="0">
                <a:effectLst/>
              </a:rPr>
              <a:t>Rural+Urban</a:t>
            </a:r>
            <a:r>
              <a:rPr lang="en-US" sz="1400" b="1" i="0" u="none" strike="noStrike" cap="none" baseline="0">
                <a:effectLst/>
              </a:rPr>
              <a:t>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'random data'!$J$270</c:f>
              <c:strCache>
                <c:ptCount val="1"/>
                <c:pt idx="0">
                  <c:v>FOOD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data'!$I$271:$I$273</c:f>
              <c:strCache>
                <c:ptCount val="3"/>
                <c:pt idx="0">
                  <c:v>Pre-Covid</c:v>
                </c:pt>
                <c:pt idx="1">
                  <c:v>Covid</c:v>
                </c:pt>
                <c:pt idx="2">
                  <c:v>Post Covid</c:v>
                </c:pt>
              </c:strCache>
            </c:strRef>
          </c:cat>
          <c:val>
            <c:numRef>
              <c:f>'random data'!$J$271:$J$273</c:f>
              <c:numCache>
                <c:formatCode>0%</c:formatCode>
                <c:ptCount val="3"/>
                <c:pt idx="0">
                  <c:v>0.02</c:v>
                </c:pt>
                <c:pt idx="1">
                  <c:v>7.2778239202657705E-2</c:v>
                </c:pt>
                <c:pt idx="2">
                  <c:v>7.0000000000000007E-2</c:v>
                </c:pt>
              </c:numCache>
            </c:numRef>
          </c:val>
          <c:extLst>
            <c:ext xmlns:c16="http://schemas.microsoft.com/office/drawing/2014/chart" uri="{C3380CC4-5D6E-409C-BE32-E72D297353CC}">
              <c16:uniqueId val="{00000000-AF42-4D57-8C33-41284E04AEDA}"/>
            </c:ext>
          </c:extLst>
        </c:ser>
        <c:ser>
          <c:idx val="1"/>
          <c:order val="1"/>
          <c:tx>
            <c:strRef>
              <c:f>'random data'!$K$270</c:f>
              <c:strCache>
                <c:ptCount val="1"/>
                <c:pt idx="0">
                  <c:v>HEALTH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data'!$I$271:$I$273</c:f>
              <c:strCache>
                <c:ptCount val="3"/>
                <c:pt idx="0">
                  <c:v>Pre-Covid</c:v>
                </c:pt>
                <c:pt idx="1">
                  <c:v>Covid</c:v>
                </c:pt>
                <c:pt idx="2">
                  <c:v>Post Covid</c:v>
                </c:pt>
              </c:strCache>
            </c:strRef>
          </c:cat>
          <c:val>
            <c:numRef>
              <c:f>'random data'!$K$271:$K$273</c:f>
              <c:numCache>
                <c:formatCode>0%</c:formatCode>
                <c:ptCount val="3"/>
                <c:pt idx="0">
                  <c:v>7.0000000000000007E-2</c:v>
                </c:pt>
                <c:pt idx="1">
                  <c:v>4.1723666210670474E-2</c:v>
                </c:pt>
                <c:pt idx="2">
                  <c:v>7.0000000000000007E-2</c:v>
                </c:pt>
              </c:numCache>
            </c:numRef>
          </c:val>
          <c:extLst>
            <c:ext xmlns:c16="http://schemas.microsoft.com/office/drawing/2014/chart" uri="{C3380CC4-5D6E-409C-BE32-E72D297353CC}">
              <c16:uniqueId val="{00000001-AF42-4D57-8C33-41284E04AEDA}"/>
            </c:ext>
          </c:extLst>
        </c:ser>
        <c:ser>
          <c:idx val="2"/>
          <c:order val="2"/>
          <c:tx>
            <c:strRef>
              <c:f>'random data'!$L$270</c:f>
              <c:strCache>
                <c:ptCount val="1"/>
                <c:pt idx="0">
                  <c:v>ESSENTIAL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data'!$I$271:$I$273</c:f>
              <c:strCache>
                <c:ptCount val="3"/>
                <c:pt idx="0">
                  <c:v>Pre-Covid</c:v>
                </c:pt>
                <c:pt idx="1">
                  <c:v>Covid</c:v>
                </c:pt>
                <c:pt idx="2">
                  <c:v>Post Covid</c:v>
                </c:pt>
              </c:strCache>
            </c:strRef>
          </c:cat>
          <c:val>
            <c:numRef>
              <c:f>'random data'!$L$271:$L$273</c:f>
              <c:numCache>
                <c:formatCode>0%</c:formatCode>
                <c:ptCount val="3"/>
                <c:pt idx="0">
                  <c:v>0.05</c:v>
                </c:pt>
                <c:pt idx="1">
                  <c:v>3.8641188959660233E-2</c:v>
                </c:pt>
                <c:pt idx="2">
                  <c:v>0.06</c:v>
                </c:pt>
              </c:numCache>
            </c:numRef>
          </c:val>
          <c:extLst>
            <c:ext xmlns:c16="http://schemas.microsoft.com/office/drawing/2014/chart" uri="{C3380CC4-5D6E-409C-BE32-E72D297353CC}">
              <c16:uniqueId val="{00000002-AF42-4D57-8C33-41284E04AEDA}"/>
            </c:ext>
          </c:extLst>
        </c:ser>
        <c:dLbls>
          <c:dLblPos val="outEnd"/>
          <c:showLegendKey val="0"/>
          <c:showVal val="1"/>
          <c:showCatName val="0"/>
          <c:showSerName val="0"/>
          <c:showPercent val="0"/>
          <c:showBubbleSize val="0"/>
        </c:dLbls>
        <c:gapWidth val="315"/>
        <c:overlap val="-40"/>
        <c:axId val="71126831"/>
        <c:axId val="71129231"/>
      </c:barChart>
      <c:catAx>
        <c:axId val="711268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129231"/>
        <c:crosses val="autoZero"/>
        <c:auto val="1"/>
        <c:lblAlgn val="ctr"/>
        <c:lblOffset val="100"/>
        <c:noMultiLvlLbl val="0"/>
      </c:catAx>
      <c:valAx>
        <c:axId val="711292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1268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0" i="0" u="none" strike="noStrike" cap="none" baseline="0">
                <a:effectLst/>
              </a:rPr>
              <a:t>Urban</a:t>
            </a:r>
            <a:r>
              <a:rPr lang="en-US" sz="1400" b="1" i="0" u="none" strike="noStrike" cap="none" baseline="0">
                <a:effectLst/>
              </a:rPr>
              <a:t> </a:t>
            </a:r>
            <a:endParaRPr lang="en-US"/>
          </a:p>
        </c:rich>
      </c:tx>
      <c:layout>
        <c:manualLayout>
          <c:xMode val="edge"/>
          <c:yMode val="edge"/>
          <c:x val="0.40479855643044615"/>
          <c:y val="2.77777777777777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'random data'!$P$270</c:f>
              <c:strCache>
                <c:ptCount val="1"/>
                <c:pt idx="0">
                  <c:v>FOOD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data'!$O$271:$O$273</c:f>
              <c:strCache>
                <c:ptCount val="3"/>
                <c:pt idx="0">
                  <c:v>Pre-Covid</c:v>
                </c:pt>
                <c:pt idx="1">
                  <c:v>Covid</c:v>
                </c:pt>
                <c:pt idx="2">
                  <c:v>Post Covid</c:v>
                </c:pt>
              </c:strCache>
            </c:strRef>
          </c:cat>
          <c:val>
            <c:numRef>
              <c:f>'random data'!$P$271:$P$273</c:f>
              <c:numCache>
                <c:formatCode>0%</c:formatCode>
                <c:ptCount val="3"/>
                <c:pt idx="0">
                  <c:v>0.02</c:v>
                </c:pt>
                <c:pt idx="1">
                  <c:v>7.1417489786419888E-2</c:v>
                </c:pt>
                <c:pt idx="2">
                  <c:v>0.08</c:v>
                </c:pt>
              </c:numCache>
            </c:numRef>
          </c:val>
          <c:extLst>
            <c:ext xmlns:c16="http://schemas.microsoft.com/office/drawing/2014/chart" uri="{C3380CC4-5D6E-409C-BE32-E72D297353CC}">
              <c16:uniqueId val="{00000000-CE55-4247-A789-6FBCE8B02A8A}"/>
            </c:ext>
          </c:extLst>
        </c:ser>
        <c:ser>
          <c:idx val="1"/>
          <c:order val="1"/>
          <c:tx>
            <c:strRef>
              <c:f>'random data'!$Q$270</c:f>
              <c:strCache>
                <c:ptCount val="1"/>
                <c:pt idx="0">
                  <c:v>HEALTH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data'!$O$271:$O$273</c:f>
              <c:strCache>
                <c:ptCount val="3"/>
                <c:pt idx="0">
                  <c:v>Pre-Covid</c:v>
                </c:pt>
                <c:pt idx="1">
                  <c:v>Covid</c:v>
                </c:pt>
                <c:pt idx="2">
                  <c:v>Post Covid</c:v>
                </c:pt>
              </c:strCache>
            </c:strRef>
          </c:cat>
          <c:val>
            <c:numRef>
              <c:f>'random data'!$Q$271:$Q$273</c:f>
              <c:numCache>
                <c:formatCode>0%</c:formatCode>
                <c:ptCount val="3"/>
                <c:pt idx="0">
                  <c:v>0.06</c:v>
                </c:pt>
                <c:pt idx="1">
                  <c:v>4.1666666666666755E-2</c:v>
                </c:pt>
                <c:pt idx="2">
                  <c:v>0.08</c:v>
                </c:pt>
              </c:numCache>
            </c:numRef>
          </c:val>
          <c:extLst>
            <c:ext xmlns:c16="http://schemas.microsoft.com/office/drawing/2014/chart" uri="{C3380CC4-5D6E-409C-BE32-E72D297353CC}">
              <c16:uniqueId val="{00000001-CE55-4247-A789-6FBCE8B02A8A}"/>
            </c:ext>
          </c:extLst>
        </c:ser>
        <c:ser>
          <c:idx val="2"/>
          <c:order val="2"/>
          <c:tx>
            <c:strRef>
              <c:f>'random data'!$R$270</c:f>
              <c:strCache>
                <c:ptCount val="1"/>
                <c:pt idx="0">
                  <c:v>ESSENTIAL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data'!$O$271:$O$273</c:f>
              <c:strCache>
                <c:ptCount val="3"/>
                <c:pt idx="0">
                  <c:v>Pre-Covid</c:v>
                </c:pt>
                <c:pt idx="1">
                  <c:v>Covid</c:v>
                </c:pt>
                <c:pt idx="2">
                  <c:v>Post Covid</c:v>
                </c:pt>
              </c:strCache>
            </c:strRef>
          </c:cat>
          <c:val>
            <c:numRef>
              <c:f>'random data'!$R$271:$R$273</c:f>
              <c:numCache>
                <c:formatCode>0%</c:formatCode>
                <c:ptCount val="3"/>
                <c:pt idx="0">
                  <c:v>0.04</c:v>
                </c:pt>
                <c:pt idx="1">
                  <c:v>4.4827586206896662E-2</c:v>
                </c:pt>
                <c:pt idx="2">
                  <c:v>7.0000000000000007E-2</c:v>
                </c:pt>
              </c:numCache>
            </c:numRef>
          </c:val>
          <c:extLst>
            <c:ext xmlns:c16="http://schemas.microsoft.com/office/drawing/2014/chart" uri="{C3380CC4-5D6E-409C-BE32-E72D297353CC}">
              <c16:uniqueId val="{00000002-CE55-4247-A789-6FBCE8B02A8A}"/>
            </c:ext>
          </c:extLst>
        </c:ser>
        <c:dLbls>
          <c:dLblPos val="outEnd"/>
          <c:showLegendKey val="0"/>
          <c:showVal val="1"/>
          <c:showCatName val="0"/>
          <c:showSerName val="0"/>
          <c:showPercent val="0"/>
          <c:showBubbleSize val="0"/>
        </c:dLbls>
        <c:gapWidth val="315"/>
        <c:overlap val="-40"/>
        <c:axId val="1053837423"/>
        <c:axId val="1053846543"/>
        <c:extLst>
          <c:ext xmlns:c15="http://schemas.microsoft.com/office/drawing/2012/chart" uri="{02D57815-91ED-43cb-92C2-25804820EDAC}">
            <c15:filteredBarSeries>
              <c15:ser>
                <c:idx val="3"/>
                <c:order val="3"/>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lt1">
                                <a:lumMod val="50000"/>
                              </a:schemeClr>
                            </a:solidFill>
                            <a:round/>
                          </a:ln>
                          <a:effectLst/>
                        </c:spPr>
                      </c15:leaderLines>
                    </c:ext>
                  </c:extLst>
                </c:dLbls>
                <c:cat>
                  <c:strRef>
                    <c:extLst>
                      <c:ext uri="{02D57815-91ED-43cb-92C2-25804820EDAC}">
                        <c15:formulaRef>
                          <c15:sqref>'random data'!$O$271:$O$273</c15:sqref>
                        </c15:formulaRef>
                      </c:ext>
                    </c:extLst>
                    <c:strCache>
                      <c:ptCount val="3"/>
                      <c:pt idx="0">
                        <c:v>Pre-Covid</c:v>
                      </c:pt>
                      <c:pt idx="1">
                        <c:v>Covid</c:v>
                      </c:pt>
                      <c:pt idx="2">
                        <c:v>Post Covid</c:v>
                      </c:pt>
                    </c:strCache>
                  </c:strRef>
                </c:cat>
                <c:val>
                  <c:numRef>
                    <c:extLst>
                      <c:ext uri="{02D57815-91ED-43cb-92C2-25804820EDAC}">
                        <c15:formulaRef>
                          <c15:sqref>'random data'!$N$271</c15:sqref>
                        </c15:formulaRef>
                      </c:ext>
                    </c:extLst>
                    <c:numCache>
                      <c:formatCode>General</c:formatCode>
                      <c:ptCount val="1"/>
                      <c:pt idx="0">
                        <c:v>0</c:v>
                      </c:pt>
                    </c:numCache>
                  </c:numRef>
                </c:val>
                <c:extLst>
                  <c:ext xmlns:c16="http://schemas.microsoft.com/office/drawing/2014/chart" uri="{C3380CC4-5D6E-409C-BE32-E72D297353CC}">
                    <c16:uniqueId val="{00000003-CE55-4247-A789-6FBCE8B02A8A}"/>
                  </c:ext>
                </c:extLst>
              </c15:ser>
            </c15:filteredBarSeries>
          </c:ext>
        </c:extLst>
      </c:barChart>
      <c:catAx>
        <c:axId val="10538374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3846543"/>
        <c:crosses val="autoZero"/>
        <c:auto val="1"/>
        <c:lblAlgn val="ctr"/>
        <c:lblOffset val="100"/>
        <c:noMultiLvlLbl val="0"/>
      </c:catAx>
      <c:valAx>
        <c:axId val="10538465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38374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Contribution of Categories Towards CPI </a:t>
            </a:r>
            <a:r>
              <a:rPr lang="en-US" sz="1400"/>
              <a:t>Rural</a:t>
            </a:r>
          </a:p>
        </c:rich>
      </c:tx>
      <c:layout>
        <c:manualLayout>
          <c:xMode val="edge"/>
          <c:yMode val="edge"/>
          <c:x val="0.19566602201992994"/>
          <c:y val="2.645833333333333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B51-4364-A3F8-155C0C2472F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B51-4364-A3F8-155C0C2472F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B51-4364-A3F8-155C0C2472F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B51-4364-A3F8-155C0C2472F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B51-4364-A3F8-155C0C2472F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B51-4364-A3F8-155C0C2472F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B51-4364-A3F8-155C0C2472F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B51-4364-A3F8-155C0C2472F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B51-4364-A3F8-155C0C2472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 Question 1'!$D$3:$D$11</c:f>
              <c:strCache>
                <c:ptCount val="9"/>
                <c:pt idx="0">
                  <c:v>Clothing</c:v>
                </c:pt>
                <c:pt idx="1">
                  <c:v>Education</c:v>
                </c:pt>
                <c:pt idx="2">
                  <c:v>Fooding</c:v>
                </c:pt>
                <c:pt idx="3">
                  <c:v>Fuel and light</c:v>
                </c:pt>
                <c:pt idx="4">
                  <c:v>Health</c:v>
                </c:pt>
                <c:pt idx="5">
                  <c:v>HOUSING</c:v>
                </c:pt>
                <c:pt idx="6">
                  <c:v>Luxury</c:v>
                </c:pt>
                <c:pt idx="7">
                  <c:v>misc</c:v>
                </c:pt>
                <c:pt idx="8">
                  <c:v>Transport and communication</c:v>
                </c:pt>
              </c:strCache>
            </c:strRef>
          </c:cat>
          <c:val>
            <c:numRef>
              <c:f>'Insight Question 1'!$F$3:$F$11</c:f>
              <c:numCache>
                <c:formatCode>0.0%</c:formatCode>
                <c:ptCount val="9"/>
                <c:pt idx="0">
                  <c:v>0.12667822530452563</c:v>
                </c:pt>
                <c:pt idx="1">
                  <c:v>4.0077353961056272E-2</c:v>
                </c:pt>
                <c:pt idx="2">
                  <c:v>0.46945852227260604</c:v>
                </c:pt>
                <c:pt idx="3">
                  <c:v>4.0566373255090236E-2</c:v>
                </c:pt>
                <c:pt idx="4">
                  <c:v>4.174446519071752E-2</c:v>
                </c:pt>
                <c:pt idx="5">
                  <c:v>3.9966213212412192E-2</c:v>
                </c:pt>
                <c:pt idx="6">
                  <c:v>0.16388814795056456</c:v>
                </c:pt>
                <c:pt idx="7">
                  <c:v>3.9899528763225736E-2</c:v>
                </c:pt>
                <c:pt idx="8">
                  <c:v>3.7721170089801713E-2</c:v>
                </c:pt>
              </c:numCache>
            </c:numRef>
          </c:val>
          <c:extLst>
            <c:ext xmlns:c16="http://schemas.microsoft.com/office/drawing/2014/chart" uri="{C3380CC4-5D6E-409C-BE32-E72D297353CC}">
              <c16:uniqueId val="{00000012-CB51-4364-A3F8-155C0C2472FB}"/>
            </c:ext>
          </c:extLst>
        </c:ser>
        <c:dLbls>
          <c:showLegendKey val="0"/>
          <c:showVal val="0"/>
          <c:showCatName val="0"/>
          <c:showSerName val="0"/>
          <c:showPercent val="0"/>
          <c:showBubbleSize val="0"/>
          <c:showLeaderLines val="1"/>
        </c:dLbls>
        <c:firstSliceAng val="0"/>
      </c:pieChart>
      <c:spPr>
        <a:noFill/>
        <a:ln>
          <a:noFill/>
        </a:ln>
        <a:effectLst/>
      </c:spPr>
    </c:plotArea>
    <c:legend>
      <c:legendPos val="l"/>
      <c:layout>
        <c:manualLayout>
          <c:xMode val="edge"/>
          <c:yMode val="edge"/>
          <c:x val="2.4958402662229616E-2"/>
          <c:y val="4.1732648002333034E-2"/>
          <c:w val="0.20247313095846378"/>
          <c:h val="0.92361767279090101"/>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Contribution of Categories Towards CPI </a:t>
            </a:r>
            <a:r>
              <a:rPr lang="en-US" sz="1400"/>
              <a:t>Urban</a:t>
            </a:r>
          </a:p>
        </c:rich>
      </c:tx>
      <c:layout>
        <c:manualLayout>
          <c:xMode val="edge"/>
          <c:yMode val="edge"/>
          <c:x val="0.22216797903597449"/>
          <c:y val="2.645833333333333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CF7-4659-AC20-5EF7D8275BB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CF7-4659-AC20-5EF7D8275BB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CF7-4659-AC20-5EF7D8275BB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CF7-4659-AC20-5EF7D8275BB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CF7-4659-AC20-5EF7D8275BB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CF7-4659-AC20-5EF7D8275BB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CF7-4659-AC20-5EF7D8275BB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9CF7-4659-AC20-5EF7D8275BB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9CF7-4659-AC20-5EF7D8275B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 Question 1'!$D$3:$D$11</c:f>
              <c:strCache>
                <c:ptCount val="9"/>
                <c:pt idx="0">
                  <c:v>Clothing</c:v>
                </c:pt>
                <c:pt idx="1">
                  <c:v>Education</c:v>
                </c:pt>
                <c:pt idx="2">
                  <c:v>Fooding</c:v>
                </c:pt>
                <c:pt idx="3">
                  <c:v>Fuel and light</c:v>
                </c:pt>
                <c:pt idx="4">
                  <c:v>Health</c:v>
                </c:pt>
                <c:pt idx="5">
                  <c:v>HOUSING</c:v>
                </c:pt>
                <c:pt idx="6">
                  <c:v>Luxury</c:v>
                </c:pt>
                <c:pt idx="7">
                  <c:v>misc</c:v>
                </c:pt>
                <c:pt idx="8">
                  <c:v>Transport and communication</c:v>
                </c:pt>
              </c:strCache>
            </c:strRef>
          </c:cat>
          <c:val>
            <c:numRef>
              <c:f>'Insight Question 1'!$H$3:$H$11</c:f>
              <c:numCache>
                <c:formatCode>0.0%</c:formatCode>
                <c:ptCount val="9"/>
                <c:pt idx="0">
                  <c:v>0.11392186860307267</c:v>
                </c:pt>
                <c:pt idx="1">
                  <c:v>3.7665108060936453E-2</c:v>
                </c:pt>
                <c:pt idx="2">
                  <c:v>0.46740933870585449</c:v>
                </c:pt>
                <c:pt idx="3">
                  <c:v>3.9518196901463076E-2</c:v>
                </c:pt>
                <c:pt idx="4">
                  <c:v>3.9259626365575638E-2</c:v>
                </c:pt>
                <c:pt idx="5">
                  <c:v>7.4489861880238734E-2</c:v>
                </c:pt>
                <c:pt idx="6">
                  <c:v>0.15619815122066838</c:v>
                </c:pt>
                <c:pt idx="7">
                  <c:v>3.6975586631903291E-2</c:v>
                </c:pt>
                <c:pt idx="8">
                  <c:v>3.4562261630287229E-2</c:v>
                </c:pt>
              </c:numCache>
            </c:numRef>
          </c:val>
          <c:extLst>
            <c:ext xmlns:c16="http://schemas.microsoft.com/office/drawing/2014/chart" uri="{C3380CC4-5D6E-409C-BE32-E72D297353CC}">
              <c16:uniqueId val="{00000012-9CF7-4659-AC20-5EF7D8275BB6}"/>
            </c:ext>
          </c:extLst>
        </c:ser>
        <c:dLbls>
          <c:showLegendKey val="0"/>
          <c:showVal val="0"/>
          <c:showCatName val="0"/>
          <c:showSerName val="0"/>
          <c:showPercent val="0"/>
          <c:showBubbleSize val="0"/>
          <c:showLeaderLines val="1"/>
        </c:dLbls>
        <c:firstSliceAng val="0"/>
      </c:pieChart>
      <c:spPr>
        <a:noFill/>
        <a:ln>
          <a:noFill/>
        </a:ln>
        <a:effectLst/>
      </c:spPr>
    </c:plotArea>
    <c:legend>
      <c:legendPos val="l"/>
      <c:layout>
        <c:manualLayout>
          <c:xMode val="edge"/>
          <c:yMode val="edge"/>
          <c:x val="0"/>
          <c:y val="3.2699950159663149E-2"/>
          <c:w val="0.20891649428098927"/>
          <c:h val="0.92567786232912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Contribution of Categories Towards CPI  </a:t>
            </a:r>
            <a:r>
              <a:rPr lang="en-US" sz="1400"/>
              <a:t>Rural+Urban</a:t>
            </a:r>
          </a:p>
        </c:rich>
      </c:tx>
      <c:layout>
        <c:manualLayout>
          <c:xMode val="edge"/>
          <c:yMode val="edge"/>
          <c:x val="0.1916562647026856"/>
          <c:y val="1.454861111111111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489-41FA-84CC-7A8F17073C0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489-41FA-84CC-7A8F17073C0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489-41FA-84CC-7A8F17073C0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489-41FA-84CC-7A8F17073C0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489-41FA-84CC-7A8F17073C0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489-41FA-84CC-7A8F17073C0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489-41FA-84CC-7A8F17073C0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489-41FA-84CC-7A8F17073C0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E489-41FA-84CC-7A8F17073C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 Question 1'!$D$3:$D$11</c:f>
              <c:strCache>
                <c:ptCount val="9"/>
                <c:pt idx="0">
                  <c:v>Clothing</c:v>
                </c:pt>
                <c:pt idx="1">
                  <c:v>Education</c:v>
                </c:pt>
                <c:pt idx="2">
                  <c:v>Fooding</c:v>
                </c:pt>
                <c:pt idx="3">
                  <c:v>Fuel and light</c:v>
                </c:pt>
                <c:pt idx="4">
                  <c:v>Health</c:v>
                </c:pt>
                <c:pt idx="5">
                  <c:v>HOUSING</c:v>
                </c:pt>
                <c:pt idx="6">
                  <c:v>Luxury</c:v>
                </c:pt>
                <c:pt idx="7">
                  <c:v>misc</c:v>
                </c:pt>
                <c:pt idx="8">
                  <c:v>Transport and communication</c:v>
                </c:pt>
              </c:strCache>
            </c:strRef>
          </c:cat>
          <c:val>
            <c:numRef>
              <c:f>'Insight Question 1'!$J$3:$J$11</c:f>
              <c:numCache>
                <c:formatCode>0.0%</c:formatCode>
                <c:ptCount val="9"/>
                <c:pt idx="0">
                  <c:v>0.11885527672739772</c:v>
                </c:pt>
                <c:pt idx="1">
                  <c:v>3.8050017188037119E-2</c:v>
                </c:pt>
                <c:pt idx="2">
                  <c:v>0.45838346510828459</c:v>
                </c:pt>
                <c:pt idx="3">
                  <c:v>3.9274664833276039E-2</c:v>
                </c:pt>
                <c:pt idx="4">
                  <c:v>3.9897731179099338E-2</c:v>
                </c:pt>
                <c:pt idx="5">
                  <c:v>7.5369542798212424E-2</c:v>
                </c:pt>
                <c:pt idx="6">
                  <c:v>0.15701271914747333</c:v>
                </c:pt>
                <c:pt idx="7">
                  <c:v>3.7749226538329315E-2</c:v>
                </c:pt>
                <c:pt idx="8">
                  <c:v>3.5407356479889997E-2</c:v>
                </c:pt>
              </c:numCache>
            </c:numRef>
          </c:val>
          <c:extLst>
            <c:ext xmlns:c16="http://schemas.microsoft.com/office/drawing/2014/chart" uri="{C3380CC4-5D6E-409C-BE32-E72D297353CC}">
              <c16:uniqueId val="{00000012-E489-41FA-84CC-7A8F17073C0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0"/>
          <c:y val="1.4718685689255901E-3"/>
          <c:w val="0.25734111749438215"/>
          <c:h val="0.945723943755554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INFLATION.xlsx]Insight Question 3!PivotTable3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CPI Trend Analysis (Jun 2022 – May 2023)</a:t>
            </a:r>
          </a:p>
        </c:rich>
      </c:tx>
      <c:layout>
        <c:manualLayout>
          <c:xMode val="edge"/>
          <c:yMode val="edge"/>
          <c:x val="0.29814022756317765"/>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0"/>
          <c:tx>
            <c:strRef>
              <c:f>'Insight Question 3'!$B$50</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'Insight Question 3'!$A$51:$A$64</c:f>
              <c:strCache>
                <c:ptCount val="13"/>
                <c:pt idx="0">
                  <c:v>May-22</c:v>
                </c:pt>
                <c:pt idx="1">
                  <c:v>Jun-22</c:v>
                </c:pt>
                <c:pt idx="2">
                  <c:v>Jul-22</c:v>
                </c:pt>
                <c:pt idx="3">
                  <c:v>Aug-22</c:v>
                </c:pt>
                <c:pt idx="4">
                  <c:v>Sep-22</c:v>
                </c:pt>
                <c:pt idx="5">
                  <c:v>Oct-22</c:v>
                </c:pt>
                <c:pt idx="6">
                  <c:v>Nov-22</c:v>
                </c:pt>
                <c:pt idx="7">
                  <c:v>Dec-22</c:v>
                </c:pt>
                <c:pt idx="8">
                  <c:v>Jan-23</c:v>
                </c:pt>
                <c:pt idx="9">
                  <c:v>Feb-23</c:v>
                </c:pt>
                <c:pt idx="10">
                  <c:v>Mar-23</c:v>
                </c:pt>
                <c:pt idx="11">
                  <c:v>Apr-23</c:v>
                </c:pt>
                <c:pt idx="12">
                  <c:v>May-23</c:v>
                </c:pt>
              </c:strCache>
            </c:strRef>
          </c:cat>
          <c:val>
            <c:numRef>
              <c:f>'Insight Question 3'!$B$51:$B$64</c:f>
              <c:numCache>
                <c:formatCode>0.0</c:formatCode>
                <c:ptCount val="13"/>
                <c:pt idx="0">
                  <c:v>175.30833333333337</c:v>
                </c:pt>
                <c:pt idx="1">
                  <c:v>177.36666666666667</c:v>
                </c:pt>
                <c:pt idx="2">
                  <c:v>177.65</c:v>
                </c:pt>
                <c:pt idx="3">
                  <c:v>177.76666666666665</c:v>
                </c:pt>
                <c:pt idx="4">
                  <c:v>178.77500000000001</c:v>
                </c:pt>
                <c:pt idx="5">
                  <c:v>180.05833333333337</c:v>
                </c:pt>
                <c:pt idx="6">
                  <c:v>179.35833333333335</c:v>
                </c:pt>
                <c:pt idx="7">
                  <c:v>177.75</c:v>
                </c:pt>
                <c:pt idx="8">
                  <c:v>178.875</c:v>
                </c:pt>
                <c:pt idx="9">
                  <c:v>178.19166666666663</c:v>
                </c:pt>
                <c:pt idx="10">
                  <c:v>178.20833333333334</c:v>
                </c:pt>
                <c:pt idx="11">
                  <c:v>179.35000000000002</c:v>
                </c:pt>
                <c:pt idx="12">
                  <c:v>180.76666666666668</c:v>
                </c:pt>
              </c:numCache>
            </c:numRef>
          </c:val>
          <c:smooth val="0"/>
          <c:extLst>
            <c:ext xmlns:c16="http://schemas.microsoft.com/office/drawing/2014/chart" uri="{C3380CC4-5D6E-409C-BE32-E72D297353CC}">
              <c16:uniqueId val="{00000001-53A1-4AB6-89AC-7CA5FF8015CD}"/>
            </c:ext>
          </c:extLst>
        </c:ser>
        <c:dLbls>
          <c:dLblPos val="t"/>
          <c:showLegendKey val="0"/>
          <c:showVal val="1"/>
          <c:showCatName val="0"/>
          <c:showSerName val="0"/>
          <c:showPercent val="0"/>
          <c:showBubbleSize val="0"/>
        </c:dLbls>
        <c:smooth val="0"/>
        <c:axId val="975397184"/>
        <c:axId val="975402464"/>
        <c:extLst/>
      </c:lineChart>
      <c:catAx>
        <c:axId val="9753971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402464"/>
        <c:crosses val="autoZero"/>
        <c:auto val="1"/>
        <c:lblAlgn val="ctr"/>
        <c:lblOffset val="100"/>
        <c:noMultiLvlLbl val="0"/>
      </c:catAx>
      <c:valAx>
        <c:axId val="975402464"/>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397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Rural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'random data'!$D$270</c:f>
              <c:strCache>
                <c:ptCount val="1"/>
                <c:pt idx="0">
                  <c:v>FOOD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data'!$C$271:$C$273</c:f>
              <c:strCache>
                <c:ptCount val="3"/>
                <c:pt idx="0">
                  <c:v>Pre-Covid</c:v>
                </c:pt>
                <c:pt idx="1">
                  <c:v>Covid</c:v>
                </c:pt>
                <c:pt idx="2">
                  <c:v>Post Covid</c:v>
                </c:pt>
              </c:strCache>
            </c:strRef>
          </c:cat>
          <c:val>
            <c:numRef>
              <c:f>'random data'!$D$271:$D$273</c:f>
              <c:numCache>
                <c:formatCode>0%</c:formatCode>
                <c:ptCount val="3"/>
                <c:pt idx="0">
                  <c:v>0.01</c:v>
                </c:pt>
                <c:pt idx="1">
                  <c:v>7.328101450028536E-2</c:v>
                </c:pt>
                <c:pt idx="2">
                  <c:v>7.2158423003888389E-2</c:v>
                </c:pt>
              </c:numCache>
            </c:numRef>
          </c:val>
          <c:extLst>
            <c:ext xmlns:c16="http://schemas.microsoft.com/office/drawing/2014/chart" uri="{C3380CC4-5D6E-409C-BE32-E72D297353CC}">
              <c16:uniqueId val="{00000000-9DC6-4742-807E-DA0D7529A0DC}"/>
            </c:ext>
          </c:extLst>
        </c:ser>
        <c:ser>
          <c:idx val="1"/>
          <c:order val="1"/>
          <c:tx>
            <c:strRef>
              <c:f>'random data'!$E$270</c:f>
              <c:strCache>
                <c:ptCount val="1"/>
                <c:pt idx="0">
                  <c:v>HEALTH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data'!$C$271:$C$273</c:f>
              <c:strCache>
                <c:ptCount val="3"/>
                <c:pt idx="0">
                  <c:v>Pre-Covid</c:v>
                </c:pt>
                <c:pt idx="1">
                  <c:v>Covid</c:v>
                </c:pt>
                <c:pt idx="2">
                  <c:v>Post Covid</c:v>
                </c:pt>
              </c:strCache>
            </c:strRef>
          </c:cat>
          <c:val>
            <c:numRef>
              <c:f>'random data'!$E$271:$E$273</c:f>
              <c:numCache>
                <c:formatCode>0%</c:formatCode>
                <c:ptCount val="3"/>
                <c:pt idx="0">
                  <c:v>7.0000000000000007E-2</c:v>
                </c:pt>
                <c:pt idx="1">
                  <c:v>4.1888297872340309E-2</c:v>
                </c:pt>
                <c:pt idx="2">
                  <c:v>0.06</c:v>
                </c:pt>
              </c:numCache>
            </c:numRef>
          </c:val>
          <c:extLst>
            <c:ext xmlns:c16="http://schemas.microsoft.com/office/drawing/2014/chart" uri="{C3380CC4-5D6E-409C-BE32-E72D297353CC}">
              <c16:uniqueId val="{00000001-9DC6-4742-807E-DA0D7529A0DC}"/>
            </c:ext>
          </c:extLst>
        </c:ser>
        <c:ser>
          <c:idx val="2"/>
          <c:order val="2"/>
          <c:tx>
            <c:strRef>
              <c:f>'random data'!$F$270</c:f>
              <c:strCache>
                <c:ptCount val="1"/>
                <c:pt idx="0">
                  <c:v>ESSENTIAL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data'!$C$271:$C$273</c:f>
              <c:strCache>
                <c:ptCount val="3"/>
                <c:pt idx="0">
                  <c:v>Pre-Covid</c:v>
                </c:pt>
                <c:pt idx="1">
                  <c:v>Covid</c:v>
                </c:pt>
                <c:pt idx="2">
                  <c:v>Post Covid</c:v>
                </c:pt>
              </c:strCache>
            </c:strRef>
          </c:cat>
          <c:val>
            <c:numRef>
              <c:f>'random data'!$F$271:$F$273</c:f>
              <c:numCache>
                <c:formatCode>0%</c:formatCode>
                <c:ptCount val="3"/>
                <c:pt idx="0">
                  <c:v>0.05</c:v>
                </c:pt>
                <c:pt idx="1">
                  <c:v>3.4517067197306094E-2</c:v>
                </c:pt>
                <c:pt idx="2">
                  <c:v>0.06</c:v>
                </c:pt>
              </c:numCache>
            </c:numRef>
          </c:val>
          <c:extLst>
            <c:ext xmlns:c16="http://schemas.microsoft.com/office/drawing/2014/chart" uri="{C3380CC4-5D6E-409C-BE32-E72D297353CC}">
              <c16:uniqueId val="{00000002-9DC6-4742-807E-DA0D7529A0DC}"/>
            </c:ext>
          </c:extLst>
        </c:ser>
        <c:dLbls>
          <c:dLblPos val="outEnd"/>
          <c:showLegendKey val="0"/>
          <c:showVal val="1"/>
          <c:showCatName val="0"/>
          <c:showSerName val="0"/>
          <c:showPercent val="0"/>
          <c:showBubbleSize val="0"/>
        </c:dLbls>
        <c:gapWidth val="315"/>
        <c:overlap val="-40"/>
        <c:axId val="928636127"/>
        <c:axId val="928641887"/>
      </c:barChart>
      <c:catAx>
        <c:axId val="9286361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8641887"/>
        <c:crosses val="autoZero"/>
        <c:auto val="1"/>
        <c:lblAlgn val="ctr"/>
        <c:lblOffset val="100"/>
        <c:noMultiLvlLbl val="0"/>
      </c:catAx>
      <c:valAx>
        <c:axId val="9286418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86361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0" i="0" u="none" strike="noStrike" cap="none" baseline="0">
                <a:effectLst/>
              </a:rPr>
              <a:t>Rural+Urban</a:t>
            </a:r>
            <a:r>
              <a:rPr lang="en-US" sz="1400" b="1" i="0" u="none" strike="noStrike" cap="none" baseline="0">
                <a:effectLst/>
              </a:rPr>
              <a:t>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'random data'!$J$270</c:f>
              <c:strCache>
                <c:ptCount val="1"/>
                <c:pt idx="0">
                  <c:v>FOOD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data'!$I$271:$I$273</c:f>
              <c:strCache>
                <c:ptCount val="3"/>
                <c:pt idx="0">
                  <c:v>Pre-Covid</c:v>
                </c:pt>
                <c:pt idx="1">
                  <c:v>Covid</c:v>
                </c:pt>
                <c:pt idx="2">
                  <c:v>Post Covid</c:v>
                </c:pt>
              </c:strCache>
            </c:strRef>
          </c:cat>
          <c:val>
            <c:numRef>
              <c:f>'random data'!$J$271:$J$273</c:f>
              <c:numCache>
                <c:formatCode>0%</c:formatCode>
                <c:ptCount val="3"/>
                <c:pt idx="0">
                  <c:v>0.02</c:v>
                </c:pt>
                <c:pt idx="1">
                  <c:v>7.2778239202657705E-2</c:v>
                </c:pt>
                <c:pt idx="2">
                  <c:v>7.0000000000000007E-2</c:v>
                </c:pt>
              </c:numCache>
            </c:numRef>
          </c:val>
          <c:extLst>
            <c:ext xmlns:c16="http://schemas.microsoft.com/office/drawing/2014/chart" uri="{C3380CC4-5D6E-409C-BE32-E72D297353CC}">
              <c16:uniqueId val="{00000000-A9C9-45C8-B947-F5E20148B035}"/>
            </c:ext>
          </c:extLst>
        </c:ser>
        <c:ser>
          <c:idx val="1"/>
          <c:order val="1"/>
          <c:tx>
            <c:strRef>
              <c:f>'random data'!$K$270</c:f>
              <c:strCache>
                <c:ptCount val="1"/>
                <c:pt idx="0">
                  <c:v>HEALTH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data'!$I$271:$I$273</c:f>
              <c:strCache>
                <c:ptCount val="3"/>
                <c:pt idx="0">
                  <c:v>Pre-Covid</c:v>
                </c:pt>
                <c:pt idx="1">
                  <c:v>Covid</c:v>
                </c:pt>
                <c:pt idx="2">
                  <c:v>Post Covid</c:v>
                </c:pt>
              </c:strCache>
            </c:strRef>
          </c:cat>
          <c:val>
            <c:numRef>
              <c:f>'random data'!$K$271:$K$273</c:f>
              <c:numCache>
                <c:formatCode>0%</c:formatCode>
                <c:ptCount val="3"/>
                <c:pt idx="0">
                  <c:v>7.0000000000000007E-2</c:v>
                </c:pt>
                <c:pt idx="1">
                  <c:v>4.1723666210670474E-2</c:v>
                </c:pt>
                <c:pt idx="2">
                  <c:v>7.0000000000000007E-2</c:v>
                </c:pt>
              </c:numCache>
            </c:numRef>
          </c:val>
          <c:extLst>
            <c:ext xmlns:c16="http://schemas.microsoft.com/office/drawing/2014/chart" uri="{C3380CC4-5D6E-409C-BE32-E72D297353CC}">
              <c16:uniqueId val="{00000001-A9C9-45C8-B947-F5E20148B035}"/>
            </c:ext>
          </c:extLst>
        </c:ser>
        <c:ser>
          <c:idx val="2"/>
          <c:order val="2"/>
          <c:tx>
            <c:strRef>
              <c:f>'random data'!$L$270</c:f>
              <c:strCache>
                <c:ptCount val="1"/>
                <c:pt idx="0">
                  <c:v>ESSENTIAL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data'!$I$271:$I$273</c:f>
              <c:strCache>
                <c:ptCount val="3"/>
                <c:pt idx="0">
                  <c:v>Pre-Covid</c:v>
                </c:pt>
                <c:pt idx="1">
                  <c:v>Covid</c:v>
                </c:pt>
                <c:pt idx="2">
                  <c:v>Post Covid</c:v>
                </c:pt>
              </c:strCache>
            </c:strRef>
          </c:cat>
          <c:val>
            <c:numRef>
              <c:f>'random data'!$L$271:$L$273</c:f>
              <c:numCache>
                <c:formatCode>0%</c:formatCode>
                <c:ptCount val="3"/>
                <c:pt idx="0">
                  <c:v>0.05</c:v>
                </c:pt>
                <c:pt idx="1">
                  <c:v>3.8641188959660233E-2</c:v>
                </c:pt>
                <c:pt idx="2">
                  <c:v>0.06</c:v>
                </c:pt>
              </c:numCache>
            </c:numRef>
          </c:val>
          <c:extLst>
            <c:ext xmlns:c16="http://schemas.microsoft.com/office/drawing/2014/chart" uri="{C3380CC4-5D6E-409C-BE32-E72D297353CC}">
              <c16:uniqueId val="{00000002-A9C9-45C8-B947-F5E20148B035}"/>
            </c:ext>
          </c:extLst>
        </c:ser>
        <c:dLbls>
          <c:dLblPos val="outEnd"/>
          <c:showLegendKey val="0"/>
          <c:showVal val="1"/>
          <c:showCatName val="0"/>
          <c:showSerName val="0"/>
          <c:showPercent val="0"/>
          <c:showBubbleSize val="0"/>
        </c:dLbls>
        <c:gapWidth val="315"/>
        <c:overlap val="-40"/>
        <c:axId val="71126831"/>
        <c:axId val="71129231"/>
      </c:barChart>
      <c:catAx>
        <c:axId val="711268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129231"/>
        <c:crosses val="autoZero"/>
        <c:auto val="1"/>
        <c:lblAlgn val="ctr"/>
        <c:lblOffset val="100"/>
        <c:noMultiLvlLbl val="0"/>
      </c:catAx>
      <c:valAx>
        <c:axId val="711292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1268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0" i="0" u="none" strike="noStrike" cap="none" baseline="0">
                <a:effectLst/>
              </a:rPr>
              <a:t>Urban</a:t>
            </a:r>
            <a:r>
              <a:rPr lang="en-US" sz="1400" b="1" i="0" u="none" strike="noStrike" cap="none" baseline="0">
                <a:effectLst/>
              </a:rPr>
              <a:t> </a:t>
            </a:r>
            <a:endParaRPr lang="en-US"/>
          </a:p>
        </c:rich>
      </c:tx>
      <c:layout>
        <c:manualLayout>
          <c:xMode val="edge"/>
          <c:yMode val="edge"/>
          <c:x val="0.40479855643044615"/>
          <c:y val="2.77777777777777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'random data'!$P$270</c:f>
              <c:strCache>
                <c:ptCount val="1"/>
                <c:pt idx="0">
                  <c:v>FOOD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data'!$O$271:$O$273</c:f>
              <c:strCache>
                <c:ptCount val="3"/>
                <c:pt idx="0">
                  <c:v>Pre-Covid</c:v>
                </c:pt>
                <c:pt idx="1">
                  <c:v>Covid</c:v>
                </c:pt>
                <c:pt idx="2">
                  <c:v>Post Covid</c:v>
                </c:pt>
              </c:strCache>
            </c:strRef>
          </c:cat>
          <c:val>
            <c:numRef>
              <c:f>'random data'!$P$271:$P$273</c:f>
              <c:numCache>
                <c:formatCode>0%</c:formatCode>
                <c:ptCount val="3"/>
                <c:pt idx="0">
                  <c:v>0.02</c:v>
                </c:pt>
                <c:pt idx="1">
                  <c:v>7.1417489786419888E-2</c:v>
                </c:pt>
                <c:pt idx="2">
                  <c:v>0.08</c:v>
                </c:pt>
              </c:numCache>
            </c:numRef>
          </c:val>
          <c:extLst>
            <c:ext xmlns:c16="http://schemas.microsoft.com/office/drawing/2014/chart" uri="{C3380CC4-5D6E-409C-BE32-E72D297353CC}">
              <c16:uniqueId val="{00000000-5A2D-4CD2-AFEA-977639944F6C}"/>
            </c:ext>
          </c:extLst>
        </c:ser>
        <c:ser>
          <c:idx val="1"/>
          <c:order val="1"/>
          <c:tx>
            <c:strRef>
              <c:f>'random data'!$Q$270</c:f>
              <c:strCache>
                <c:ptCount val="1"/>
                <c:pt idx="0">
                  <c:v>HEALTH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data'!$O$271:$O$273</c:f>
              <c:strCache>
                <c:ptCount val="3"/>
                <c:pt idx="0">
                  <c:v>Pre-Covid</c:v>
                </c:pt>
                <c:pt idx="1">
                  <c:v>Covid</c:v>
                </c:pt>
                <c:pt idx="2">
                  <c:v>Post Covid</c:v>
                </c:pt>
              </c:strCache>
            </c:strRef>
          </c:cat>
          <c:val>
            <c:numRef>
              <c:f>'random data'!$Q$271:$Q$273</c:f>
              <c:numCache>
                <c:formatCode>0%</c:formatCode>
                <c:ptCount val="3"/>
                <c:pt idx="0">
                  <c:v>0.06</c:v>
                </c:pt>
                <c:pt idx="1">
                  <c:v>4.1666666666666755E-2</c:v>
                </c:pt>
                <c:pt idx="2">
                  <c:v>0.08</c:v>
                </c:pt>
              </c:numCache>
            </c:numRef>
          </c:val>
          <c:extLst>
            <c:ext xmlns:c16="http://schemas.microsoft.com/office/drawing/2014/chart" uri="{C3380CC4-5D6E-409C-BE32-E72D297353CC}">
              <c16:uniqueId val="{00000001-5A2D-4CD2-AFEA-977639944F6C}"/>
            </c:ext>
          </c:extLst>
        </c:ser>
        <c:ser>
          <c:idx val="2"/>
          <c:order val="2"/>
          <c:tx>
            <c:strRef>
              <c:f>'random data'!$R$270</c:f>
              <c:strCache>
                <c:ptCount val="1"/>
                <c:pt idx="0">
                  <c:v>ESSENTIAL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'random data'!$O$271:$O$273</c:f>
              <c:strCache>
                <c:ptCount val="3"/>
                <c:pt idx="0">
                  <c:v>Pre-Covid</c:v>
                </c:pt>
                <c:pt idx="1">
                  <c:v>Covid</c:v>
                </c:pt>
                <c:pt idx="2">
                  <c:v>Post Covid</c:v>
                </c:pt>
              </c:strCache>
            </c:strRef>
          </c:cat>
          <c:val>
            <c:numRef>
              <c:f>'random data'!$R$271:$R$273</c:f>
              <c:numCache>
                <c:formatCode>0%</c:formatCode>
                <c:ptCount val="3"/>
                <c:pt idx="0">
                  <c:v>0.04</c:v>
                </c:pt>
                <c:pt idx="1">
                  <c:v>4.4827586206896662E-2</c:v>
                </c:pt>
                <c:pt idx="2">
                  <c:v>7.0000000000000007E-2</c:v>
                </c:pt>
              </c:numCache>
            </c:numRef>
          </c:val>
          <c:extLst>
            <c:ext xmlns:c16="http://schemas.microsoft.com/office/drawing/2014/chart" uri="{C3380CC4-5D6E-409C-BE32-E72D297353CC}">
              <c16:uniqueId val="{00000002-5A2D-4CD2-AFEA-977639944F6C}"/>
            </c:ext>
          </c:extLst>
        </c:ser>
        <c:dLbls>
          <c:dLblPos val="outEnd"/>
          <c:showLegendKey val="0"/>
          <c:showVal val="1"/>
          <c:showCatName val="0"/>
          <c:showSerName val="0"/>
          <c:showPercent val="0"/>
          <c:showBubbleSize val="0"/>
        </c:dLbls>
        <c:gapWidth val="315"/>
        <c:overlap val="-40"/>
        <c:axId val="1053837423"/>
        <c:axId val="1053846543"/>
        <c:extLst>
          <c:ext xmlns:c15="http://schemas.microsoft.com/office/drawing/2012/chart" uri="{02D57815-91ED-43cb-92C2-25804820EDAC}">
            <c15:filteredBarSeries>
              <c15:ser>
                <c:idx val="3"/>
                <c:order val="3"/>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lt1">
                                <a:lumMod val="50000"/>
                              </a:schemeClr>
                            </a:solidFill>
                            <a:round/>
                          </a:ln>
                          <a:effectLst/>
                        </c:spPr>
                      </c15:leaderLines>
                    </c:ext>
                  </c:extLst>
                </c:dLbls>
                <c:cat>
                  <c:strRef>
                    <c:extLst>
                      <c:ext uri="{02D57815-91ED-43cb-92C2-25804820EDAC}">
                        <c15:formulaRef>
                          <c15:sqref>'random data'!$O$271:$O$273</c15:sqref>
                        </c15:formulaRef>
                      </c:ext>
                    </c:extLst>
                    <c:strCache>
                      <c:ptCount val="3"/>
                      <c:pt idx="0">
                        <c:v>Pre-Covid</c:v>
                      </c:pt>
                      <c:pt idx="1">
                        <c:v>Covid</c:v>
                      </c:pt>
                      <c:pt idx="2">
                        <c:v>Post Covid</c:v>
                      </c:pt>
                    </c:strCache>
                  </c:strRef>
                </c:cat>
                <c:val>
                  <c:numRef>
                    <c:extLst>
                      <c:ext uri="{02D57815-91ED-43cb-92C2-25804820EDAC}">
                        <c15:formulaRef>
                          <c15:sqref>'random data'!$N$271</c15:sqref>
                        </c15:formulaRef>
                      </c:ext>
                    </c:extLst>
                    <c:numCache>
                      <c:formatCode>General</c:formatCode>
                      <c:ptCount val="1"/>
                      <c:pt idx="0">
                        <c:v>0</c:v>
                      </c:pt>
                    </c:numCache>
                  </c:numRef>
                </c:val>
                <c:extLst>
                  <c:ext xmlns:c16="http://schemas.microsoft.com/office/drawing/2014/chart" uri="{C3380CC4-5D6E-409C-BE32-E72D297353CC}">
                    <c16:uniqueId val="{00000003-5A2D-4CD2-AFEA-977639944F6C}"/>
                  </c:ext>
                </c:extLst>
              </c15:ser>
            </c15:filteredBarSeries>
          </c:ext>
        </c:extLst>
      </c:barChart>
      <c:catAx>
        <c:axId val="10538374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3846543"/>
        <c:crosses val="autoZero"/>
        <c:auto val="1"/>
        <c:lblAlgn val="ctr"/>
        <c:lblOffset val="100"/>
        <c:noMultiLvlLbl val="0"/>
      </c:catAx>
      <c:valAx>
        <c:axId val="10538465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38374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Contribution of Categories Towards CPI</a:t>
            </a:r>
          </a:p>
        </c:rich>
      </c:tx>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7DE-4729-B117-BD5635EF2F6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7DE-4729-B117-BD5635EF2F6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7DE-4729-B117-BD5635EF2F6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7DE-4729-B117-BD5635EF2F6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7DE-4729-B117-BD5635EF2F6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7DE-4729-B117-BD5635EF2F6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7DE-4729-B117-BD5635EF2F6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7DE-4729-B117-BD5635EF2F6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57DE-4729-B117-BD5635EF2F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 Question 1'!$AD$18:$AD$26</c:f>
              <c:strCache>
                <c:ptCount val="9"/>
                <c:pt idx="0">
                  <c:v>Clothing</c:v>
                </c:pt>
                <c:pt idx="1">
                  <c:v>Education</c:v>
                </c:pt>
                <c:pt idx="2">
                  <c:v>Fooding</c:v>
                </c:pt>
                <c:pt idx="3">
                  <c:v>Fuel and light</c:v>
                </c:pt>
                <c:pt idx="4">
                  <c:v>Health</c:v>
                </c:pt>
                <c:pt idx="5">
                  <c:v>HOUSING</c:v>
                </c:pt>
                <c:pt idx="6">
                  <c:v>Luxury</c:v>
                </c:pt>
                <c:pt idx="7">
                  <c:v>misc</c:v>
                </c:pt>
                <c:pt idx="8">
                  <c:v>Transport and communication</c:v>
                </c:pt>
              </c:strCache>
            </c:strRef>
          </c:cat>
          <c:val>
            <c:numRef>
              <c:f>'Insight Question 1'!$AE$18:$AE$26</c:f>
              <c:numCache>
                <c:formatCode>0.0%</c:formatCode>
                <c:ptCount val="9"/>
                <c:pt idx="0">
                  <c:v>0.11974684829021102</c:v>
                </c:pt>
                <c:pt idx="1">
                  <c:v>3.8581712471273948E-2</c:v>
                </c:pt>
                <c:pt idx="2">
                  <c:v>0.46503215142705939</c:v>
                </c:pt>
                <c:pt idx="3">
                  <c:v>3.9777876048455493E-2</c:v>
                </c:pt>
                <c:pt idx="4">
                  <c:v>4.0285339384229485E-2</c:v>
                </c:pt>
                <c:pt idx="5">
                  <c:v>6.3527160162678231E-2</c:v>
                </c:pt>
                <c:pt idx="6">
                  <c:v>0.15898101362176581</c:v>
                </c:pt>
                <c:pt idx="7">
                  <c:v>3.8190240755105437E-2</c:v>
                </c:pt>
                <c:pt idx="8">
                  <c:v>3.5877657839221117E-2</c:v>
                </c:pt>
              </c:numCache>
            </c:numRef>
          </c:val>
          <c:extLst>
            <c:ext xmlns:c16="http://schemas.microsoft.com/office/drawing/2014/chart" uri="{C3380CC4-5D6E-409C-BE32-E72D297353CC}">
              <c16:uniqueId val="{00000012-57DE-4729-B117-BD5635EF2F6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Annual YoY CPI Growth(R+U)</a:t>
            </a:r>
          </a:p>
        </c:rich>
      </c:tx>
      <c:layout>
        <c:manualLayout>
          <c:xMode val="edge"/>
          <c:yMode val="edge"/>
          <c:x val="0.29814022756317765"/>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1"/>
          <c:order val="1"/>
          <c:tx>
            <c:strRef>
              <c:f>'Insight Question 2'!$E$1</c:f>
              <c:strCache>
                <c:ptCount val="1"/>
                <c:pt idx="0">
                  <c:v>Inflation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'Insight Question 2'!$A$2:$C$8</c15:sqref>
                  </c15:fullRef>
                  <c15:levelRef>
                    <c15:sqref>'Insight Question 2'!$B$2:$B$8</c15:sqref>
                  </c15:levelRef>
                </c:ext>
              </c:extLst>
              <c:f>'Insight Question 2'!$B$2:$B$8</c:f>
              <c:strCache>
                <c:ptCount val="7"/>
                <c:pt idx="0">
                  <c:v>2017</c:v>
                </c:pt>
                <c:pt idx="1">
                  <c:v>2018</c:v>
                </c:pt>
                <c:pt idx="2">
                  <c:v>2019</c:v>
                </c:pt>
                <c:pt idx="3">
                  <c:v>2020</c:v>
                </c:pt>
                <c:pt idx="4">
                  <c:v>2021</c:v>
                </c:pt>
                <c:pt idx="5">
                  <c:v>2022</c:v>
                </c:pt>
                <c:pt idx="6">
                  <c:v>2023</c:v>
                </c:pt>
              </c:strCache>
            </c:strRef>
          </c:cat>
          <c:val>
            <c:numRef>
              <c:f>'Insight Question 2'!$E$2:$E$8</c:f>
              <c:numCache>
                <c:formatCode>0.0%</c:formatCode>
                <c:ptCount val="7"/>
                <c:pt idx="1">
                  <c:v>4.8706240487062444E-2</c:v>
                </c:pt>
                <c:pt idx="2">
                  <c:v>3.5740335521517182E-2</c:v>
                </c:pt>
                <c:pt idx="3">
                  <c:v>6.3497652582159711E-2</c:v>
                </c:pt>
                <c:pt idx="4">
                  <c:v>6.2134422249199815E-2</c:v>
                </c:pt>
                <c:pt idx="5">
                  <c:v>7.0448877805486171E-2</c:v>
                </c:pt>
                <c:pt idx="6">
                  <c:v>4.3098427489807842E-2</c:v>
                </c:pt>
              </c:numCache>
            </c:numRef>
          </c:val>
          <c:smooth val="0"/>
          <c:extLst>
            <c:ext xmlns:c16="http://schemas.microsoft.com/office/drawing/2014/chart" uri="{C3380CC4-5D6E-409C-BE32-E72D297353CC}">
              <c16:uniqueId val="{00000000-3258-4434-8DAC-08CE1D92303B}"/>
            </c:ext>
          </c:extLst>
        </c:ser>
        <c:dLbls>
          <c:dLblPos val="t"/>
          <c:showLegendKey val="0"/>
          <c:showVal val="1"/>
          <c:showCatName val="0"/>
          <c:showSerName val="0"/>
          <c:showPercent val="0"/>
          <c:showBubbleSize val="0"/>
        </c:dLbls>
        <c:smooth val="0"/>
        <c:axId val="975397184"/>
        <c:axId val="975402464"/>
        <c:extLst>
          <c:ext xmlns:c15="http://schemas.microsoft.com/office/drawing/2012/chart" uri="{02D57815-91ED-43cb-92C2-25804820EDAC}">
            <c15:filteredLineSeries>
              <c15:ser>
                <c:idx val="0"/>
                <c:order val="0"/>
                <c:tx>
                  <c:strRef>
                    <c:extLst>
                      <c:ext uri="{02D57815-91ED-43cb-92C2-25804820EDAC}">
                        <c15:formulaRef>
                          <c15:sqref>'Insight Question 2'!$D$1</c15:sqref>
                        </c15:formulaRef>
                      </c:ext>
                    </c:extLst>
                    <c:strCache>
                      <c:ptCount val="1"/>
                      <c:pt idx="0">
                        <c:v>General index</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delete val="1"/>
                </c:dLbls>
                <c:cat>
                  <c:strRef>
                    <c:extLst>
                      <c:ext uri="{02D57815-91ED-43cb-92C2-25804820EDAC}">
                        <c15:fullRef>
                          <c15:sqref>'Insight Question 2'!$A$2:$C$8</c15:sqref>
                        </c15:fullRef>
                        <c15:levelRef>
                          <c15:sqref>'Insight Question 2'!$B$2:$B$8</c15:sqref>
                        </c15:levelRef>
                        <c15:formulaRef>
                          <c15:sqref>'Insight Question 2'!$B$2:$B$8</c15:sqref>
                        </c15:formulaRef>
                      </c:ext>
                    </c:extLst>
                    <c:strCache>
                      <c:ptCount val="7"/>
                      <c:pt idx="0">
                        <c:v>2017</c:v>
                      </c:pt>
                      <c:pt idx="1">
                        <c:v>2018</c:v>
                      </c:pt>
                      <c:pt idx="2">
                        <c:v>2019</c:v>
                      </c:pt>
                      <c:pt idx="3">
                        <c:v>2020</c:v>
                      </c:pt>
                      <c:pt idx="4">
                        <c:v>2021</c:v>
                      </c:pt>
                      <c:pt idx="5">
                        <c:v>2022</c:v>
                      </c:pt>
                      <c:pt idx="6">
                        <c:v>2023</c:v>
                      </c:pt>
                    </c:strCache>
                  </c:strRef>
                </c:cat>
                <c:val>
                  <c:numRef>
                    <c:extLst>
                      <c:ext uri="{02D57815-91ED-43cb-92C2-25804820EDAC}">
                        <c15:formulaRef>
                          <c15:sqref>'Insight Question 2'!$D$2:$D$8</c15:sqref>
                        </c15:formulaRef>
                      </c:ext>
                    </c:extLst>
                    <c:numCache>
                      <c:formatCode>General</c:formatCode>
                      <c:ptCount val="7"/>
                      <c:pt idx="0">
                        <c:v>131.4</c:v>
                      </c:pt>
                      <c:pt idx="1">
                        <c:v>137.80000000000001</c:v>
                      </c:pt>
                      <c:pt idx="2">
                        <c:v>142</c:v>
                      </c:pt>
                      <c:pt idx="3" formatCode="0.00">
                        <c:v>151.01666666666668</c:v>
                      </c:pt>
                      <c:pt idx="4">
                        <c:v>160.4</c:v>
                      </c:pt>
                      <c:pt idx="5">
                        <c:v>171.7</c:v>
                      </c:pt>
                      <c:pt idx="6">
                        <c:v>179.1</c:v>
                      </c:pt>
                    </c:numCache>
                  </c:numRef>
                </c:val>
                <c:smooth val="0"/>
                <c:extLst>
                  <c:ext xmlns:c16="http://schemas.microsoft.com/office/drawing/2014/chart" uri="{C3380CC4-5D6E-409C-BE32-E72D297353CC}">
                    <c16:uniqueId val="{00000001-3258-4434-8DAC-08CE1D92303B}"/>
                  </c:ext>
                </c:extLst>
              </c15:ser>
            </c15:filteredLineSeries>
          </c:ext>
        </c:extLst>
      </c:lineChart>
      <c:catAx>
        <c:axId val="9753971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402464"/>
        <c:crosses val="autoZero"/>
        <c:auto val="1"/>
        <c:lblAlgn val="ctr"/>
        <c:lblOffset val="100"/>
        <c:noMultiLvlLbl val="0"/>
      </c:catAx>
      <c:valAx>
        <c:axId val="9754024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397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800" b="0" i="0" u="none" strike="noStrike" kern="1200" cap="all" baseline="0">
                <a:solidFill>
                  <a:sysClr val="window" lastClr="FFFFFF"/>
                </a:solidFill>
              </a:rPr>
              <a:t>Overall U + R Percentage Change</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'Insight Question 3'!$I$50</c:f>
              <c:strCache>
                <c:ptCount val="1"/>
                <c:pt idx="0">
                  <c:v>sum of % change Urban + Rural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showLeaderLines val="0"/>
              </c:ext>
            </c:extLst>
          </c:dLbls>
          <c:cat>
            <c:strRef>
              <c:f>'Insight Question 3'!$F$51:$F$62</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strCache>
            </c:strRef>
          </c:cat>
          <c:val>
            <c:numRef>
              <c:f>'Insight Question 3'!$I$51:$I$62</c:f>
              <c:numCache>
                <c:formatCode>General</c:formatCode>
                <c:ptCount val="12"/>
                <c:pt idx="0">
                  <c:v>12.1</c:v>
                </c:pt>
                <c:pt idx="1">
                  <c:v>-1.1000000000000001</c:v>
                </c:pt>
                <c:pt idx="2">
                  <c:v>7.6</c:v>
                </c:pt>
                <c:pt idx="3">
                  <c:v>8.5</c:v>
                </c:pt>
                <c:pt idx="4">
                  <c:v>-17.2</c:v>
                </c:pt>
                <c:pt idx="5">
                  <c:v>1.2</c:v>
                </c:pt>
                <c:pt idx="6">
                  <c:v>-6.6</c:v>
                </c:pt>
                <c:pt idx="7">
                  <c:v>6.4</c:v>
                </c:pt>
                <c:pt idx="8">
                  <c:v>2.5</c:v>
                </c:pt>
                <c:pt idx="9">
                  <c:v>16.600000000000001</c:v>
                </c:pt>
                <c:pt idx="10">
                  <c:v>6.2</c:v>
                </c:pt>
                <c:pt idx="11">
                  <c:v>3.3</c:v>
                </c:pt>
              </c:numCache>
            </c:numRef>
          </c:val>
          <c:extLst>
            <c:ext xmlns:c16="http://schemas.microsoft.com/office/drawing/2014/chart" uri="{C3380CC4-5D6E-409C-BE32-E72D297353CC}">
              <c16:uniqueId val="{00000000-5B96-4A56-8912-ED956C938A78}"/>
            </c:ext>
          </c:extLst>
        </c:ser>
        <c:dLbls>
          <c:showLegendKey val="0"/>
          <c:showVal val="0"/>
          <c:showCatName val="0"/>
          <c:showSerName val="0"/>
          <c:showPercent val="0"/>
          <c:showBubbleSize val="0"/>
        </c:dLbls>
        <c:gapWidth val="84"/>
        <c:gapDepth val="53"/>
        <c:shape val="box"/>
        <c:axId val="1660982271"/>
        <c:axId val="1660973151"/>
        <c:axId val="0"/>
      </c:bar3DChart>
      <c:catAx>
        <c:axId val="1660982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0973151"/>
        <c:crosses val="autoZero"/>
        <c:auto val="1"/>
        <c:lblAlgn val="ctr"/>
        <c:lblOffset val="100"/>
        <c:noMultiLvlLbl val="0"/>
      </c:catAx>
      <c:valAx>
        <c:axId val="1660973151"/>
        <c:scaling>
          <c:orientation val="minMax"/>
        </c:scaling>
        <c:delete val="1"/>
        <c:axPos val="l"/>
        <c:numFmt formatCode="General" sourceLinked="1"/>
        <c:majorTickMark val="out"/>
        <c:minorTickMark val="none"/>
        <c:tickLblPos val="nextTo"/>
        <c:crossAx val="166098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800" b="0" i="0" u="none" strike="noStrike" cap="all" baseline="0"/>
              <a:t>Overall URBAN Percentage Change</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'Insight Question 3'!$H$50</c:f>
              <c:strCache>
                <c:ptCount val="1"/>
                <c:pt idx="0">
                  <c:v>sum of % change Urban</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'Insight Question 3'!$F$51:$F$62</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strCache>
            </c:strRef>
          </c:cat>
          <c:val>
            <c:numRef>
              <c:f>'Insight Question 3'!$H$51:$H$62</c:f>
              <c:numCache>
                <c:formatCode>General</c:formatCode>
                <c:ptCount val="12"/>
                <c:pt idx="0">
                  <c:v>10.9</c:v>
                </c:pt>
                <c:pt idx="1">
                  <c:v>-0.7</c:v>
                </c:pt>
                <c:pt idx="2">
                  <c:v>8.6</c:v>
                </c:pt>
                <c:pt idx="3">
                  <c:v>8.1999999999999993</c:v>
                </c:pt>
                <c:pt idx="4">
                  <c:v>-14</c:v>
                </c:pt>
                <c:pt idx="5">
                  <c:v>1.3</c:v>
                </c:pt>
                <c:pt idx="6">
                  <c:v>-7.6</c:v>
                </c:pt>
                <c:pt idx="7">
                  <c:v>7.6</c:v>
                </c:pt>
                <c:pt idx="8">
                  <c:v>2.5</c:v>
                </c:pt>
                <c:pt idx="9">
                  <c:v>15.7</c:v>
                </c:pt>
                <c:pt idx="10">
                  <c:v>6.7</c:v>
                </c:pt>
                <c:pt idx="11">
                  <c:v>3.1</c:v>
                </c:pt>
              </c:numCache>
            </c:numRef>
          </c:val>
          <c:extLst>
            <c:ext xmlns:c16="http://schemas.microsoft.com/office/drawing/2014/chart" uri="{C3380CC4-5D6E-409C-BE32-E72D297353CC}">
              <c16:uniqueId val="{00000000-BD87-470F-AFDD-7B3EAE94299B}"/>
            </c:ext>
          </c:extLst>
        </c:ser>
        <c:dLbls>
          <c:showLegendKey val="0"/>
          <c:showVal val="1"/>
          <c:showCatName val="0"/>
          <c:showSerName val="0"/>
          <c:showPercent val="0"/>
          <c:showBubbleSize val="0"/>
        </c:dLbls>
        <c:gapWidth val="84"/>
        <c:gapDepth val="53"/>
        <c:shape val="box"/>
        <c:axId val="1660983711"/>
        <c:axId val="1660984191"/>
        <c:axId val="0"/>
      </c:bar3DChart>
      <c:catAx>
        <c:axId val="1660983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0984191"/>
        <c:crosses val="autoZero"/>
        <c:auto val="1"/>
        <c:lblAlgn val="ctr"/>
        <c:lblOffset val="100"/>
        <c:noMultiLvlLbl val="0"/>
      </c:catAx>
      <c:valAx>
        <c:axId val="1660984191"/>
        <c:scaling>
          <c:orientation val="minMax"/>
        </c:scaling>
        <c:delete val="1"/>
        <c:axPos val="l"/>
        <c:numFmt formatCode="General" sourceLinked="1"/>
        <c:majorTickMark val="out"/>
        <c:minorTickMark val="none"/>
        <c:tickLblPos val="nextTo"/>
        <c:crossAx val="166098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800" b="0" i="0" u="none" strike="noStrike" cap="all" baseline="0"/>
              <a:t>Overall Rural Percentage Change</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'Insight Question 3'!$F$51:$F$62</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strCache>
            </c:strRef>
          </c:cat>
          <c:val>
            <c:numRef>
              <c:f>'Insight Question 3'!$G$51:$G$62</c:f>
              <c:numCache>
                <c:formatCode>General</c:formatCode>
                <c:ptCount val="12"/>
                <c:pt idx="0">
                  <c:v>12.6</c:v>
                </c:pt>
                <c:pt idx="1">
                  <c:v>-1.3</c:v>
                </c:pt>
                <c:pt idx="2">
                  <c:v>6.9</c:v>
                </c:pt>
                <c:pt idx="3">
                  <c:v>8.8000000000000007</c:v>
                </c:pt>
                <c:pt idx="4">
                  <c:v>-18.899999999999999</c:v>
                </c:pt>
                <c:pt idx="5">
                  <c:v>1.1000000000000001</c:v>
                </c:pt>
                <c:pt idx="6">
                  <c:v>-6</c:v>
                </c:pt>
                <c:pt idx="7">
                  <c:v>5.9</c:v>
                </c:pt>
                <c:pt idx="8">
                  <c:v>2.5</c:v>
                </c:pt>
                <c:pt idx="9">
                  <c:v>17.100000000000001</c:v>
                </c:pt>
                <c:pt idx="10">
                  <c:v>5.8</c:v>
                </c:pt>
                <c:pt idx="11">
                  <c:v>3.5</c:v>
                </c:pt>
              </c:numCache>
            </c:numRef>
          </c:val>
          <c:extLst>
            <c:ext xmlns:c16="http://schemas.microsoft.com/office/drawing/2014/chart" uri="{C3380CC4-5D6E-409C-BE32-E72D297353CC}">
              <c16:uniqueId val="{00000000-CC2D-43BE-A8C7-91ED36D0E5CD}"/>
            </c:ext>
          </c:extLst>
        </c:ser>
        <c:dLbls>
          <c:showLegendKey val="0"/>
          <c:showVal val="1"/>
          <c:showCatName val="0"/>
          <c:showSerName val="0"/>
          <c:showPercent val="0"/>
          <c:showBubbleSize val="0"/>
        </c:dLbls>
        <c:gapWidth val="84"/>
        <c:gapDepth val="53"/>
        <c:shape val="box"/>
        <c:axId val="1855405887"/>
        <c:axId val="1855405407"/>
        <c:axId val="0"/>
      </c:bar3DChart>
      <c:catAx>
        <c:axId val="1855405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5405407"/>
        <c:crosses val="autoZero"/>
        <c:auto val="1"/>
        <c:lblAlgn val="ctr"/>
        <c:lblOffset val="100"/>
        <c:noMultiLvlLbl val="0"/>
      </c:catAx>
      <c:valAx>
        <c:axId val="1855405407"/>
        <c:scaling>
          <c:orientation val="minMax"/>
        </c:scaling>
        <c:delete val="1"/>
        <c:axPos val="l"/>
        <c:numFmt formatCode="General" sourceLinked="1"/>
        <c:majorTickMark val="out"/>
        <c:minorTickMark val="none"/>
        <c:tickLblPos val="nextTo"/>
        <c:crossAx val="185540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chart" Target="../charts/chart18.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5" Type="http://schemas.openxmlformats.org/officeDocument/2006/relationships/chart" Target="../charts/chart11.xml"/><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chart" Target="../charts/chart2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7.xml"/><Relationship Id="rId3" Type="http://schemas.openxmlformats.org/officeDocument/2006/relationships/chart" Target="../charts/chart32.xml"/><Relationship Id="rId7" Type="http://schemas.openxmlformats.org/officeDocument/2006/relationships/chart" Target="../charts/chart36.xml"/><Relationship Id="rId12" Type="http://schemas.openxmlformats.org/officeDocument/2006/relationships/chart" Target="../charts/chart41.xml"/><Relationship Id="rId2" Type="http://schemas.openxmlformats.org/officeDocument/2006/relationships/chart" Target="../charts/chart31.xml"/><Relationship Id="rId1" Type="http://schemas.openxmlformats.org/officeDocument/2006/relationships/chart" Target="../charts/chart30.xml"/><Relationship Id="rId6" Type="http://schemas.openxmlformats.org/officeDocument/2006/relationships/chart" Target="../charts/chart35.xml"/><Relationship Id="rId11" Type="http://schemas.openxmlformats.org/officeDocument/2006/relationships/chart" Target="../charts/chart40.xml"/><Relationship Id="rId5" Type="http://schemas.openxmlformats.org/officeDocument/2006/relationships/chart" Target="../charts/chart34.xml"/><Relationship Id="rId10" Type="http://schemas.openxmlformats.org/officeDocument/2006/relationships/chart" Target="../charts/chart39.xml"/><Relationship Id="rId4" Type="http://schemas.openxmlformats.org/officeDocument/2006/relationships/chart" Target="../charts/chart33.xml"/><Relationship Id="rId9"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0</xdr:col>
      <xdr:colOff>838200</xdr:colOff>
      <xdr:row>240</xdr:row>
      <xdr:rowOff>80010</xdr:rowOff>
    </xdr:from>
    <xdr:to>
      <xdr:col>5</xdr:col>
      <xdr:colOff>30480</xdr:colOff>
      <xdr:row>255</xdr:row>
      <xdr:rowOff>80010</xdr:rowOff>
    </xdr:to>
    <xdr:graphicFrame macro="">
      <xdr:nvGraphicFramePr>
        <xdr:cNvPr id="12" name="Chart 11">
          <a:extLst>
            <a:ext uri="{FF2B5EF4-FFF2-40B4-BE49-F238E27FC236}">
              <a16:creationId xmlns:a16="http://schemas.microsoft.com/office/drawing/2014/main" id="{459D4CC1-A5D8-0178-1A1D-3A2C20276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175260</xdr:colOff>
      <xdr:row>240</xdr:row>
      <xdr:rowOff>64770</xdr:rowOff>
    </xdr:from>
    <xdr:to>
      <xdr:col>10</xdr:col>
      <xdr:colOff>0</xdr:colOff>
      <xdr:row>255</xdr:row>
      <xdr:rowOff>64770</xdr:rowOff>
    </xdr:to>
    <xdr:graphicFrame macro="">
      <xdr:nvGraphicFramePr>
        <xdr:cNvPr id="13" name="Chart 12">
          <a:extLst>
            <a:ext uri="{FF2B5EF4-FFF2-40B4-BE49-F238E27FC236}">
              <a16:creationId xmlns:a16="http://schemas.microsoft.com/office/drawing/2014/main" id="{EA30D3A4-95F7-EC34-87A9-9D480A759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327660</xdr:colOff>
      <xdr:row>240</xdr:row>
      <xdr:rowOff>72390</xdr:rowOff>
    </xdr:from>
    <xdr:to>
      <xdr:col>15</xdr:col>
      <xdr:colOff>472440</xdr:colOff>
      <xdr:row>255</xdr:row>
      <xdr:rowOff>72390</xdr:rowOff>
    </xdr:to>
    <xdr:graphicFrame macro="">
      <xdr:nvGraphicFramePr>
        <xdr:cNvPr id="14" name="Chart 13">
          <a:extLst>
            <a:ext uri="{FF2B5EF4-FFF2-40B4-BE49-F238E27FC236}">
              <a16:creationId xmlns:a16="http://schemas.microsoft.com/office/drawing/2014/main" id="{BFC766B7-B9C1-3EE1-63A7-B30B97E5A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274</xdr:row>
      <xdr:rowOff>3810</xdr:rowOff>
    </xdr:from>
    <xdr:to>
      <xdr:col>5</xdr:col>
      <xdr:colOff>129540</xdr:colOff>
      <xdr:row>289</xdr:row>
      <xdr:rowOff>3810</xdr:rowOff>
    </xdr:to>
    <xdr:graphicFrame macro="">
      <xdr:nvGraphicFramePr>
        <xdr:cNvPr id="5" name="Chart 4">
          <a:extLst>
            <a:ext uri="{FF2B5EF4-FFF2-40B4-BE49-F238E27FC236}">
              <a16:creationId xmlns:a16="http://schemas.microsoft.com/office/drawing/2014/main" id="{64A8021D-C124-9DED-1D99-56B59C01F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487680</xdr:colOff>
      <xdr:row>273</xdr:row>
      <xdr:rowOff>152400</xdr:rowOff>
    </xdr:from>
    <xdr:to>
      <xdr:col>10</xdr:col>
      <xdr:colOff>358140</xdr:colOff>
      <xdr:row>289</xdr:row>
      <xdr:rowOff>91440</xdr:rowOff>
    </xdr:to>
    <xdr:graphicFrame macro="">
      <xdr:nvGraphicFramePr>
        <xdr:cNvPr id="7" name="Chart 6">
          <a:extLst>
            <a:ext uri="{FF2B5EF4-FFF2-40B4-BE49-F238E27FC236}">
              <a16:creationId xmlns:a16="http://schemas.microsoft.com/office/drawing/2014/main" id="{BF24081F-2045-B37F-4A39-A6B1B361A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1203960</xdr:colOff>
      <xdr:row>273</xdr:row>
      <xdr:rowOff>163830</xdr:rowOff>
    </xdr:from>
    <xdr:to>
      <xdr:col>15</xdr:col>
      <xdr:colOff>548640</xdr:colOff>
      <xdr:row>288</xdr:row>
      <xdr:rowOff>163830</xdr:rowOff>
    </xdr:to>
    <xdr:graphicFrame macro="">
      <xdr:nvGraphicFramePr>
        <xdr:cNvPr id="8" name="Chart 7">
          <a:extLst>
            <a:ext uri="{FF2B5EF4-FFF2-40B4-BE49-F238E27FC236}">
              <a16:creationId xmlns:a16="http://schemas.microsoft.com/office/drawing/2014/main" id="{633822AF-5E54-025E-B244-6295A9D44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44735</xdr:colOff>
      <xdr:row>148</xdr:row>
      <xdr:rowOff>5899</xdr:rowOff>
    </xdr:from>
    <xdr:to>
      <xdr:col>6</xdr:col>
      <xdr:colOff>105998</xdr:colOff>
      <xdr:row>165</xdr:row>
      <xdr:rowOff>64214</xdr:rowOff>
    </xdr:to>
    <xdr:graphicFrame macro="">
      <xdr:nvGraphicFramePr>
        <xdr:cNvPr id="11" name="Chart 10">
          <a:extLst>
            <a:ext uri="{FF2B5EF4-FFF2-40B4-BE49-F238E27FC236}">
              <a16:creationId xmlns:a16="http://schemas.microsoft.com/office/drawing/2014/main" id="{B55FD2E5-12BE-D8F9-D764-022D3DA87C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329327</xdr:colOff>
      <xdr:row>148</xdr:row>
      <xdr:rowOff>79131</xdr:rowOff>
    </xdr:from>
    <xdr:to>
      <xdr:col>19</xdr:col>
      <xdr:colOff>751538</xdr:colOff>
      <xdr:row>165</xdr:row>
      <xdr:rowOff>137446</xdr:rowOff>
    </xdr:to>
    <xdr:graphicFrame macro="">
      <xdr:nvGraphicFramePr>
        <xdr:cNvPr id="13" name="Chart 12">
          <a:extLst>
            <a:ext uri="{FF2B5EF4-FFF2-40B4-BE49-F238E27FC236}">
              <a16:creationId xmlns:a16="http://schemas.microsoft.com/office/drawing/2014/main" id="{E3476876-738D-A62E-2413-A2FF112B5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144913</xdr:rowOff>
    </xdr:from>
    <xdr:to>
      <xdr:col>6</xdr:col>
      <xdr:colOff>61263</xdr:colOff>
      <xdr:row>30</xdr:row>
      <xdr:rowOff>16070</xdr:rowOff>
    </xdr:to>
    <xdr:graphicFrame macro="">
      <xdr:nvGraphicFramePr>
        <xdr:cNvPr id="14" name="Chart 13">
          <a:extLst>
            <a:ext uri="{FF2B5EF4-FFF2-40B4-BE49-F238E27FC236}">
              <a16:creationId xmlns:a16="http://schemas.microsoft.com/office/drawing/2014/main" id="{4132AA7D-6D81-406D-B27C-B00A2DF4D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206007</xdr:colOff>
      <xdr:row>12</xdr:row>
      <xdr:rowOff>144914</xdr:rowOff>
    </xdr:from>
    <xdr:to>
      <xdr:col>11</xdr:col>
      <xdr:colOff>641586</xdr:colOff>
      <xdr:row>30</xdr:row>
      <xdr:rowOff>16071</xdr:rowOff>
    </xdr:to>
    <xdr:graphicFrame macro="">
      <xdr:nvGraphicFramePr>
        <xdr:cNvPr id="15" name="Chart 14">
          <a:extLst>
            <a:ext uri="{FF2B5EF4-FFF2-40B4-BE49-F238E27FC236}">
              <a16:creationId xmlns:a16="http://schemas.microsoft.com/office/drawing/2014/main" id="{CC845C8C-F8B3-45A7-AAC5-F194DF6AC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87161</xdr:colOff>
      <xdr:row>12</xdr:row>
      <xdr:rowOff>127668</xdr:rowOff>
    </xdr:from>
    <xdr:to>
      <xdr:col>19</xdr:col>
      <xdr:colOff>509372</xdr:colOff>
      <xdr:row>29</xdr:row>
      <xdr:rowOff>185983</xdr:rowOff>
    </xdr:to>
    <xdr:graphicFrame macro="">
      <xdr:nvGraphicFramePr>
        <xdr:cNvPr id="16" name="Chart 15">
          <a:extLst>
            <a:ext uri="{FF2B5EF4-FFF2-40B4-BE49-F238E27FC236}">
              <a16:creationId xmlns:a16="http://schemas.microsoft.com/office/drawing/2014/main" id="{D84B2CBD-68CD-421E-B1C9-8765D023D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119380</xdr:colOff>
      <xdr:row>62</xdr:row>
      <xdr:rowOff>162560</xdr:rowOff>
    </xdr:from>
    <xdr:to>
      <xdr:col>11</xdr:col>
      <xdr:colOff>554959</xdr:colOff>
      <xdr:row>80</xdr:row>
      <xdr:rowOff>33718</xdr:rowOff>
    </xdr:to>
    <xdr:graphicFrame macro="">
      <xdr:nvGraphicFramePr>
        <xdr:cNvPr id="19" name="Chart 18">
          <a:extLst>
            <a:ext uri="{FF2B5EF4-FFF2-40B4-BE49-F238E27FC236}">
              <a16:creationId xmlns:a16="http://schemas.microsoft.com/office/drawing/2014/main" id="{2F3389D1-69DB-4AB8-929B-100C36122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35559</xdr:colOff>
      <xdr:row>62</xdr:row>
      <xdr:rowOff>170180</xdr:rowOff>
    </xdr:from>
    <xdr:to>
      <xdr:col>19</xdr:col>
      <xdr:colOff>457770</xdr:colOff>
      <xdr:row>80</xdr:row>
      <xdr:rowOff>41338</xdr:rowOff>
    </xdr:to>
    <xdr:graphicFrame macro="">
      <xdr:nvGraphicFramePr>
        <xdr:cNvPr id="20" name="Chart 19">
          <a:extLst>
            <a:ext uri="{FF2B5EF4-FFF2-40B4-BE49-F238E27FC236}">
              <a16:creationId xmlns:a16="http://schemas.microsoft.com/office/drawing/2014/main" id="{36AAEE2A-7F62-4612-9C60-F5C88CEB0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122</xdr:row>
      <xdr:rowOff>0</xdr:rowOff>
    </xdr:from>
    <xdr:to>
      <xdr:col>6</xdr:col>
      <xdr:colOff>61263</xdr:colOff>
      <xdr:row>139</xdr:row>
      <xdr:rowOff>58316</xdr:rowOff>
    </xdr:to>
    <xdr:graphicFrame macro="">
      <xdr:nvGraphicFramePr>
        <xdr:cNvPr id="21" name="Chart 20">
          <a:extLst>
            <a:ext uri="{FF2B5EF4-FFF2-40B4-BE49-F238E27FC236}">
              <a16:creationId xmlns:a16="http://schemas.microsoft.com/office/drawing/2014/main" id="{4F854D9A-75CC-42F9-8313-42550BE95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335279</xdr:colOff>
      <xdr:row>122</xdr:row>
      <xdr:rowOff>10160</xdr:rowOff>
    </xdr:from>
    <xdr:to>
      <xdr:col>12</xdr:col>
      <xdr:colOff>8858</xdr:colOff>
      <xdr:row>139</xdr:row>
      <xdr:rowOff>68476</xdr:rowOff>
    </xdr:to>
    <xdr:graphicFrame macro="">
      <xdr:nvGraphicFramePr>
        <xdr:cNvPr id="22" name="Chart 21">
          <a:extLst>
            <a:ext uri="{FF2B5EF4-FFF2-40B4-BE49-F238E27FC236}">
              <a16:creationId xmlns:a16="http://schemas.microsoft.com/office/drawing/2014/main" id="{FD149EA7-FA39-497E-999C-83B2EB5E0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267368</xdr:colOff>
      <xdr:row>122</xdr:row>
      <xdr:rowOff>0</xdr:rowOff>
    </xdr:from>
    <xdr:to>
      <xdr:col>19</xdr:col>
      <xdr:colOff>689579</xdr:colOff>
      <xdr:row>139</xdr:row>
      <xdr:rowOff>58316</xdr:rowOff>
    </xdr:to>
    <xdr:graphicFrame macro="">
      <xdr:nvGraphicFramePr>
        <xdr:cNvPr id="23" name="Chart 22">
          <a:extLst>
            <a:ext uri="{FF2B5EF4-FFF2-40B4-BE49-F238E27FC236}">
              <a16:creationId xmlns:a16="http://schemas.microsoft.com/office/drawing/2014/main" id="{3F144DC6-C681-45EE-9D69-DC84048C9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357715</xdr:colOff>
      <xdr:row>148</xdr:row>
      <xdr:rowOff>1</xdr:rowOff>
    </xdr:from>
    <xdr:to>
      <xdr:col>12</xdr:col>
      <xdr:colOff>31294</xdr:colOff>
      <xdr:row>165</xdr:row>
      <xdr:rowOff>58316</xdr:rowOff>
    </xdr:to>
    <xdr:graphicFrame macro="">
      <xdr:nvGraphicFramePr>
        <xdr:cNvPr id="24" name="Chart 23">
          <a:extLst>
            <a:ext uri="{FF2B5EF4-FFF2-40B4-BE49-F238E27FC236}">
              <a16:creationId xmlns:a16="http://schemas.microsoft.com/office/drawing/2014/main" id="{2ABABCE5-0F02-4F1A-81FB-B1E857B51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62</xdr:row>
      <xdr:rowOff>165768</xdr:rowOff>
    </xdr:from>
    <xdr:to>
      <xdr:col>6</xdr:col>
      <xdr:colOff>61263</xdr:colOff>
      <xdr:row>80</xdr:row>
      <xdr:rowOff>36926</xdr:rowOff>
    </xdr:to>
    <xdr:graphicFrame macro="">
      <xdr:nvGraphicFramePr>
        <xdr:cNvPr id="2" name="Chart 1">
          <a:extLst>
            <a:ext uri="{FF2B5EF4-FFF2-40B4-BE49-F238E27FC236}">
              <a16:creationId xmlns:a16="http://schemas.microsoft.com/office/drawing/2014/main" id="{DE6841D9-14C1-1611-FED7-0F08FB92C0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735263</xdr:colOff>
      <xdr:row>0</xdr:row>
      <xdr:rowOff>0</xdr:rowOff>
    </xdr:from>
    <xdr:to>
      <xdr:col>19</xdr:col>
      <xdr:colOff>0</xdr:colOff>
      <xdr:row>11</xdr:row>
      <xdr:rowOff>160421</xdr:rowOff>
    </xdr:to>
    <xdr:sp macro="" textlink="">
      <xdr:nvSpPr>
        <xdr:cNvPr id="3" name="Oval 2">
          <a:extLst>
            <a:ext uri="{FF2B5EF4-FFF2-40B4-BE49-F238E27FC236}">
              <a16:creationId xmlns:a16="http://schemas.microsoft.com/office/drawing/2014/main" id="{86D241AD-80C7-4B13-94C9-B1788715E965}"/>
            </a:ext>
          </a:extLst>
        </xdr:cNvPr>
        <xdr:cNvSpPr/>
      </xdr:nvSpPr>
      <xdr:spPr>
        <a:xfrm>
          <a:off x="13582316" y="0"/>
          <a:ext cx="7860631" cy="2433053"/>
        </a:xfrm>
        <a:prstGeom prst="ellipse">
          <a:avLst/>
        </a:prstGeom>
        <a:solidFill>
          <a:srgbClr val="00206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300" b="1">
              <a:solidFill>
                <a:schemeClr val="bg1"/>
              </a:solidFill>
              <a:latin typeface="Times New Roman" panose="02020603050405020304" pitchFamily="18" charset="0"/>
              <a:cs typeface="Times New Roman" panose="02020603050405020304" pitchFamily="18" charset="0"/>
            </a:rPr>
            <a:t>The CPI basket is heavily concentrated towards essential consumption, with food alone accounting for 46.5% of the total share. This indicates that inflation in India is largely driven by food prices and is highly sensitive to supply-side factors and seasonal variations. While discretionary categories such as luxury (15.9%) and clothing (12.0%) also contribute meaningfully, their impact remains secondary. The relatively lower share of other categories suggests that overall CPI movements are concentrated in a few high-weight segments, making food price stability critical for controlling inflation.</a:t>
          </a:r>
        </a:p>
      </xdr:txBody>
    </xdr:sp>
    <xdr:clientData/>
  </xdr:twoCellAnchor>
  <xdr:twoCellAnchor>
    <xdr:from>
      <xdr:col>1</xdr:col>
      <xdr:colOff>797275</xdr:colOff>
      <xdr:row>31</xdr:row>
      <xdr:rowOff>43488</xdr:rowOff>
    </xdr:from>
    <xdr:to>
      <xdr:col>4</xdr:col>
      <xdr:colOff>881351</xdr:colOff>
      <xdr:row>46</xdr:row>
      <xdr:rowOff>100988</xdr:rowOff>
    </xdr:to>
    <xdr:sp macro="" textlink="">
      <xdr:nvSpPr>
        <xdr:cNvPr id="4" name="Rectangle 3">
          <a:extLst>
            <a:ext uri="{FF2B5EF4-FFF2-40B4-BE49-F238E27FC236}">
              <a16:creationId xmlns:a16="http://schemas.microsoft.com/office/drawing/2014/main" id="{C5071B09-6954-9597-F8F9-9E98AA9DB9FC}"/>
            </a:ext>
          </a:extLst>
        </xdr:cNvPr>
        <xdr:cNvSpPr/>
      </xdr:nvSpPr>
      <xdr:spPr>
        <a:xfrm>
          <a:off x="1678624" y="5946693"/>
          <a:ext cx="3783908" cy="28117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300" b="1">
              <a:latin typeface="Times New Roman" panose="02020603050405020304" pitchFamily="18" charset="0"/>
              <a:cs typeface="Times New Roman" panose="02020603050405020304" pitchFamily="18" charset="0"/>
            </a:rPr>
            <a:t>1. Rural Sector</a:t>
          </a:r>
        </a:p>
        <a:p>
          <a:r>
            <a:rPr lang="en-US" sz="1300" b="1">
              <a:latin typeface="Times New Roman" panose="02020603050405020304" pitchFamily="18" charset="0"/>
              <a:cs typeface="Times New Roman" panose="02020603050405020304" pitchFamily="18" charset="0"/>
            </a:rPr>
            <a:t> Highest Contributor:</a:t>
          </a:r>
        </a:p>
        <a:p>
          <a:r>
            <a:rPr lang="en-US" sz="1300">
              <a:latin typeface="Times New Roman" panose="02020603050405020304" pitchFamily="18" charset="0"/>
              <a:cs typeface="Times New Roman" panose="02020603050405020304" pitchFamily="18" charset="0"/>
            </a:rPr>
            <a:t> </a:t>
          </a:r>
          <a:r>
            <a:rPr lang="en-US" sz="1300" b="1">
              <a:latin typeface="Times New Roman" panose="02020603050405020304" pitchFamily="18" charset="0"/>
              <a:cs typeface="Times New Roman" panose="02020603050405020304" pitchFamily="18" charset="0"/>
            </a:rPr>
            <a:t>Food (46–47%)</a:t>
          </a:r>
          <a:endParaRPr lang="en-US" sz="1300">
            <a:latin typeface="Times New Roman" panose="02020603050405020304" pitchFamily="18" charset="0"/>
            <a:cs typeface="Times New Roman" panose="02020603050405020304" pitchFamily="18" charset="0"/>
          </a:endParaRPr>
        </a:p>
        <a:p>
          <a:r>
            <a:rPr lang="en-US" sz="1300" b="1">
              <a:latin typeface="Times New Roman" panose="02020603050405020304" pitchFamily="18" charset="0"/>
              <a:cs typeface="Times New Roman" panose="02020603050405020304" pitchFamily="18" charset="0"/>
            </a:rPr>
            <a:t>Other Contributions:</a:t>
          </a:r>
        </a:p>
        <a:p>
          <a:r>
            <a:rPr lang="en-US" sz="1300">
              <a:latin typeface="Times New Roman" panose="02020603050405020304" pitchFamily="18" charset="0"/>
              <a:cs typeface="Times New Roman" panose="02020603050405020304" pitchFamily="18" charset="0"/>
            </a:rPr>
            <a:t>Clothing → 12–13% </a:t>
          </a:r>
        </a:p>
        <a:p>
          <a:r>
            <a:rPr lang="en-US" sz="1300">
              <a:latin typeface="Times New Roman" panose="02020603050405020304" pitchFamily="18" charset="0"/>
              <a:cs typeface="Times New Roman" panose="02020603050405020304" pitchFamily="18" charset="0"/>
            </a:rPr>
            <a:t>Luxury → ~16% </a:t>
          </a:r>
        </a:p>
        <a:p>
          <a:r>
            <a:rPr lang="en-US" sz="1300">
              <a:latin typeface="Times New Roman" panose="02020603050405020304" pitchFamily="18" charset="0"/>
              <a:cs typeface="Times New Roman" panose="02020603050405020304" pitchFamily="18" charset="0"/>
            </a:rPr>
            <a:t>Housing → 4–5% </a:t>
          </a:r>
        </a:p>
        <a:p>
          <a:r>
            <a:rPr lang="en-US" sz="1300">
              <a:latin typeface="Times New Roman" panose="02020603050405020304" pitchFamily="18" charset="0"/>
              <a:cs typeface="Times New Roman" panose="02020603050405020304" pitchFamily="18" charset="0"/>
            </a:rPr>
            <a:t>Fuel &amp; Light → 4% </a:t>
          </a:r>
        </a:p>
        <a:p>
          <a:r>
            <a:rPr lang="en-US" sz="1300">
              <a:latin typeface="Times New Roman" panose="02020603050405020304" pitchFamily="18" charset="0"/>
              <a:cs typeface="Times New Roman" panose="02020603050405020304" pitchFamily="18" charset="0"/>
            </a:rPr>
            <a:t>Transport &amp; Communication → 3–4% </a:t>
          </a:r>
        </a:p>
        <a:p>
          <a:r>
            <a:rPr lang="en-US" sz="1300">
              <a:latin typeface="Times New Roman" panose="02020603050405020304" pitchFamily="18" charset="0"/>
              <a:cs typeface="Times New Roman" panose="02020603050405020304" pitchFamily="18" charset="0"/>
            </a:rPr>
            <a:t>Health &amp; Education → 3–4% each </a:t>
          </a:r>
        </a:p>
        <a:p>
          <a:r>
            <a:rPr lang="en-US" sz="1300" b="1">
              <a:latin typeface="Times New Roman" panose="02020603050405020304" pitchFamily="18" charset="0"/>
              <a:cs typeface="Times New Roman" panose="02020603050405020304" pitchFamily="18" charset="0"/>
            </a:rPr>
            <a:t>Insight:</a:t>
          </a:r>
        </a:p>
        <a:p>
          <a:r>
            <a:rPr lang="en-US" sz="1300">
              <a:latin typeface="Times New Roman" panose="02020603050405020304" pitchFamily="18" charset="0"/>
              <a:cs typeface="Times New Roman" panose="02020603050405020304" pitchFamily="18" charset="0"/>
            </a:rPr>
            <a:t>Rural CPI is </a:t>
          </a:r>
          <a:r>
            <a:rPr lang="en-US" sz="1300" b="1">
              <a:latin typeface="Times New Roman" panose="02020603050405020304" pitchFamily="18" charset="0"/>
              <a:cs typeface="Times New Roman" panose="02020603050405020304" pitchFamily="18" charset="0"/>
            </a:rPr>
            <a:t>heavily food-driven</a:t>
          </a:r>
          <a:r>
            <a:rPr lang="en-US" sz="1300">
              <a:latin typeface="Times New Roman" panose="02020603050405020304" pitchFamily="18" charset="0"/>
              <a:cs typeface="Times New Roman" panose="02020603050405020304" pitchFamily="18" charset="0"/>
            </a:rPr>
            <a:t> </a:t>
          </a:r>
        </a:p>
        <a:p>
          <a:r>
            <a:rPr lang="en-US" sz="1300">
              <a:latin typeface="Times New Roman" panose="02020603050405020304" pitchFamily="18" charset="0"/>
              <a:cs typeface="Times New Roman" panose="02020603050405020304" pitchFamily="18" charset="0"/>
            </a:rPr>
            <a:t>Majority spending is on </a:t>
          </a:r>
          <a:r>
            <a:rPr lang="en-US" sz="1300" b="1">
              <a:latin typeface="Times New Roman" panose="02020603050405020304" pitchFamily="18" charset="0"/>
              <a:cs typeface="Times New Roman" panose="02020603050405020304" pitchFamily="18" charset="0"/>
            </a:rPr>
            <a:t>basic necessities</a:t>
          </a:r>
          <a:endParaRPr lang="en-US" sz="1300">
            <a:latin typeface="Times New Roman" panose="02020603050405020304" pitchFamily="18" charset="0"/>
            <a:cs typeface="Times New Roman" panose="02020603050405020304" pitchFamily="18" charset="0"/>
          </a:endParaRPr>
        </a:p>
        <a:p>
          <a:pPr algn="l"/>
          <a:endParaRPr lang="en-US" sz="1300">
            <a:latin typeface="Times New Roman" panose="02020603050405020304" pitchFamily="18" charset="0"/>
            <a:cs typeface="Times New Roman" panose="02020603050405020304" pitchFamily="18" charset="0"/>
          </a:endParaRPr>
        </a:p>
      </xdr:txBody>
    </xdr:sp>
    <xdr:clientData/>
  </xdr:twoCellAnchor>
  <xdr:twoCellAnchor>
    <xdr:from>
      <xdr:col>6</xdr:col>
      <xdr:colOff>1331204</xdr:colOff>
      <xdr:row>30</xdr:row>
      <xdr:rowOff>110169</xdr:rowOff>
    </xdr:from>
    <xdr:to>
      <xdr:col>9</xdr:col>
      <xdr:colOff>752820</xdr:colOff>
      <xdr:row>46</xdr:row>
      <xdr:rowOff>45903</xdr:rowOff>
    </xdr:to>
    <xdr:sp macro="" textlink="">
      <xdr:nvSpPr>
        <xdr:cNvPr id="5" name="Rectangle 4">
          <a:extLst>
            <a:ext uri="{FF2B5EF4-FFF2-40B4-BE49-F238E27FC236}">
              <a16:creationId xmlns:a16="http://schemas.microsoft.com/office/drawing/2014/main" id="{76B17154-2888-4146-BAF3-C3823BACD8B2}"/>
            </a:ext>
          </a:extLst>
        </xdr:cNvPr>
        <xdr:cNvSpPr/>
      </xdr:nvSpPr>
      <xdr:spPr>
        <a:xfrm>
          <a:off x="8464626" y="5829759"/>
          <a:ext cx="4379206" cy="28735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t>2. Urban Sector</a:t>
          </a:r>
        </a:p>
        <a:p>
          <a:r>
            <a:rPr lang="en-US" sz="1400" b="1"/>
            <a:t>Highest Contributor:</a:t>
          </a:r>
        </a:p>
        <a:p>
          <a:r>
            <a:rPr lang="en-US" sz="1400" b="1"/>
            <a:t>Food (46–47%)</a:t>
          </a:r>
          <a:endParaRPr lang="en-US" sz="1400"/>
        </a:p>
        <a:p>
          <a:r>
            <a:rPr lang="en-US" sz="1400" b="1"/>
            <a:t>Other Contributions:</a:t>
          </a:r>
        </a:p>
        <a:p>
          <a:r>
            <a:rPr lang="en-US" sz="1050"/>
            <a:t>Clothing → 11–12% </a:t>
          </a:r>
        </a:p>
        <a:p>
          <a:r>
            <a:rPr lang="en-US" sz="1050"/>
            <a:t>Luxury → 15–16% </a:t>
          </a:r>
        </a:p>
        <a:p>
          <a:r>
            <a:rPr lang="en-US" sz="1050"/>
            <a:t>Housing → 7–8% (higher than rural) </a:t>
          </a:r>
        </a:p>
        <a:p>
          <a:r>
            <a:rPr lang="en-US" sz="1050"/>
            <a:t>Transport &amp; Communication → 3–4% </a:t>
          </a:r>
        </a:p>
        <a:p>
          <a:r>
            <a:rPr lang="en-US" sz="1050"/>
            <a:t>Fuel &amp; Light → 3–4% </a:t>
          </a:r>
        </a:p>
        <a:p>
          <a:r>
            <a:rPr lang="en-US" sz="1050"/>
            <a:t>Health &amp; Education → 3–4% </a:t>
          </a:r>
        </a:p>
        <a:p>
          <a:r>
            <a:rPr lang="en-US" sz="1050" b="1"/>
            <a:t> </a:t>
          </a:r>
          <a:r>
            <a:rPr lang="en-US" sz="1400" b="1"/>
            <a:t>Insight:</a:t>
          </a:r>
        </a:p>
        <a:p>
          <a:r>
            <a:rPr lang="en-US" sz="1200"/>
            <a:t>Food still dominates, but </a:t>
          </a:r>
        </a:p>
        <a:p>
          <a:r>
            <a:rPr lang="en-US" sz="1200" b="1"/>
            <a:t>Housing and services have stronger presence</a:t>
          </a:r>
          <a:r>
            <a:rPr lang="en-US" sz="1200"/>
            <a:t> </a:t>
          </a:r>
        </a:p>
        <a:p>
          <a:r>
            <a:rPr lang="en-US" sz="1200"/>
            <a:t>Reflects </a:t>
          </a:r>
          <a:r>
            <a:rPr lang="en-US" sz="1200" b="1"/>
            <a:t>cost of living in cities</a:t>
          </a:r>
          <a:endParaRPr lang="en-US" sz="1200"/>
        </a:p>
      </xdr:txBody>
    </xdr:sp>
    <xdr:clientData/>
  </xdr:twoCellAnchor>
  <xdr:twoCellAnchor>
    <xdr:from>
      <xdr:col>13</xdr:col>
      <xdr:colOff>1266940</xdr:colOff>
      <xdr:row>31</xdr:row>
      <xdr:rowOff>9181</xdr:rowOff>
    </xdr:from>
    <xdr:to>
      <xdr:col>17</xdr:col>
      <xdr:colOff>690005</xdr:colOff>
      <xdr:row>46</xdr:row>
      <xdr:rowOff>66681</xdr:rowOff>
    </xdr:to>
    <xdr:sp macro="" textlink="">
      <xdr:nvSpPr>
        <xdr:cNvPr id="6" name="Rectangle 5">
          <a:extLst>
            <a:ext uri="{FF2B5EF4-FFF2-40B4-BE49-F238E27FC236}">
              <a16:creationId xmlns:a16="http://schemas.microsoft.com/office/drawing/2014/main" id="{AF8238F4-B76C-4257-9108-609977BFC10A}"/>
            </a:ext>
          </a:extLst>
        </xdr:cNvPr>
        <xdr:cNvSpPr/>
      </xdr:nvSpPr>
      <xdr:spPr>
        <a:xfrm>
          <a:off x="16819085" y="5912386"/>
          <a:ext cx="3783908" cy="28117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t>3. Rural + Urban </a:t>
          </a:r>
        </a:p>
        <a:p>
          <a:r>
            <a:rPr lang="en-US" sz="1400" b="1"/>
            <a:t> Highest Contributor:</a:t>
          </a:r>
        </a:p>
        <a:p>
          <a:r>
            <a:rPr lang="en-US" sz="1400"/>
            <a:t> </a:t>
          </a:r>
          <a:r>
            <a:rPr lang="en-US" sz="1400" b="1"/>
            <a:t>Food (45–46%)</a:t>
          </a:r>
          <a:endParaRPr lang="en-US" sz="1400"/>
        </a:p>
        <a:p>
          <a:r>
            <a:rPr lang="en-US" sz="1400" b="1"/>
            <a:t>Other Contributions:</a:t>
          </a:r>
        </a:p>
        <a:p>
          <a:r>
            <a:rPr lang="en-US" sz="1050"/>
            <a:t>Clothing → 11–12% </a:t>
          </a:r>
        </a:p>
        <a:p>
          <a:r>
            <a:rPr lang="en-US" sz="1050"/>
            <a:t>Luxury → 15–16% </a:t>
          </a:r>
        </a:p>
        <a:p>
          <a:r>
            <a:rPr lang="en-US" sz="1050"/>
            <a:t>Housing → 7–8% </a:t>
          </a:r>
        </a:p>
        <a:p>
          <a:r>
            <a:rPr lang="en-US" sz="1050"/>
            <a:t>Fuel &amp; Light → 3–4% </a:t>
          </a:r>
        </a:p>
        <a:p>
          <a:r>
            <a:rPr lang="en-US" sz="1050"/>
            <a:t>Transport &amp; Communication → 3–4% </a:t>
          </a:r>
        </a:p>
        <a:p>
          <a:r>
            <a:rPr lang="en-US" sz="1050"/>
            <a:t>Health &amp; Education → 3–4% </a:t>
          </a:r>
        </a:p>
        <a:p>
          <a:r>
            <a:rPr lang="en-US" sz="1400" b="1"/>
            <a:t>Insight:</a:t>
          </a:r>
        </a:p>
        <a:p>
          <a:r>
            <a:rPr lang="en-US" sz="1400"/>
            <a:t>Balanced distribution across categories </a:t>
          </a:r>
        </a:p>
        <a:p>
          <a:r>
            <a:rPr lang="en-US" sz="1400"/>
            <a:t>Still </a:t>
          </a:r>
          <a:r>
            <a:rPr lang="en-US" sz="1400" b="1"/>
            <a:t>food-led CPI structure</a:t>
          </a:r>
          <a:endParaRPr lang="en-US" sz="1400"/>
        </a:p>
      </xdr:txBody>
    </xdr:sp>
    <xdr:clientData/>
  </xdr:twoCellAnchor>
  <xdr:twoCellAnchor>
    <xdr:from>
      <xdr:col>0</xdr:col>
      <xdr:colOff>550843</xdr:colOff>
      <xdr:row>81</xdr:row>
      <xdr:rowOff>64266</xdr:rowOff>
    </xdr:from>
    <xdr:to>
      <xdr:col>4</xdr:col>
      <xdr:colOff>1175656</xdr:colOff>
      <xdr:row>100</xdr:row>
      <xdr:rowOff>163286</xdr:rowOff>
    </xdr:to>
    <xdr:sp macro="" textlink="">
      <xdr:nvSpPr>
        <xdr:cNvPr id="7" name="Rectangle 6">
          <a:extLst>
            <a:ext uri="{FF2B5EF4-FFF2-40B4-BE49-F238E27FC236}">
              <a16:creationId xmlns:a16="http://schemas.microsoft.com/office/drawing/2014/main" id="{6A5DAEB9-C1C0-D374-E3E0-6FCF7EADB0E8}"/>
            </a:ext>
          </a:extLst>
        </xdr:cNvPr>
        <xdr:cNvSpPr/>
      </xdr:nvSpPr>
      <xdr:spPr>
        <a:xfrm>
          <a:off x="550843" y="15260723"/>
          <a:ext cx="5207699" cy="33320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600" b="1"/>
            <a:t> 1. Most Dominant Contributors:</a:t>
          </a:r>
        </a:p>
        <a:p>
          <a:r>
            <a:rPr lang="en-US" sz="1400" b="1"/>
            <a:t>Cereals, Milk, Vegetables, Prepared Food</a:t>
          </a:r>
          <a:endParaRPr lang="en-US" sz="1400"/>
        </a:p>
        <a:p>
          <a:r>
            <a:rPr lang="en-US" sz="1400"/>
            <a:t>These categories consistently hold </a:t>
          </a:r>
          <a:r>
            <a:rPr lang="en-US" sz="1400" b="1"/>
            <a:t>higher shares (8–10% each)</a:t>
          </a:r>
          <a:r>
            <a:rPr lang="en-US" sz="1400"/>
            <a:t> </a:t>
          </a:r>
        </a:p>
        <a:p>
          <a:r>
            <a:rPr lang="en-US" sz="1400"/>
            <a:t>Represent </a:t>
          </a:r>
          <a:r>
            <a:rPr lang="en-US" sz="1400" b="1"/>
            <a:t>daily consumption essentials</a:t>
          </a:r>
        </a:p>
        <a:p>
          <a:r>
            <a:rPr lang="en-US" sz="1600" b="1">
              <a:solidFill>
                <a:schemeClr val="lt1"/>
              </a:solidFill>
              <a:effectLst/>
              <a:latin typeface="+mn-lt"/>
              <a:ea typeface="+mn-ea"/>
              <a:cs typeface="+mn-cs"/>
            </a:rPr>
            <a:t> 2. Medium Contributors:</a:t>
          </a:r>
          <a:endParaRPr lang="en-US" sz="1600">
            <a:effectLst/>
          </a:endParaRPr>
        </a:p>
        <a:p>
          <a:r>
            <a:rPr lang="en-US" sz="1400">
              <a:solidFill>
                <a:schemeClr val="lt1"/>
              </a:solidFill>
              <a:effectLst/>
              <a:latin typeface="+mn-lt"/>
              <a:ea typeface="+mn-ea"/>
              <a:cs typeface="+mn-cs"/>
            </a:rPr>
            <a:t>Oils &amp; Fats </a:t>
          </a:r>
          <a:endParaRPr lang="en-US" sz="1400">
            <a:effectLst/>
          </a:endParaRPr>
        </a:p>
        <a:p>
          <a:r>
            <a:rPr lang="en-US" sz="1400">
              <a:solidFill>
                <a:schemeClr val="lt1"/>
              </a:solidFill>
              <a:effectLst/>
              <a:latin typeface="+mn-lt"/>
              <a:ea typeface="+mn-ea"/>
              <a:cs typeface="+mn-cs"/>
            </a:rPr>
            <a:t>Fruits </a:t>
          </a:r>
          <a:endParaRPr lang="en-US" sz="1400">
            <a:effectLst/>
          </a:endParaRPr>
        </a:p>
        <a:p>
          <a:r>
            <a:rPr lang="en-US" sz="1400">
              <a:solidFill>
                <a:schemeClr val="lt1"/>
              </a:solidFill>
              <a:effectLst/>
              <a:latin typeface="+mn-lt"/>
              <a:ea typeface="+mn-ea"/>
              <a:cs typeface="+mn-cs"/>
            </a:rPr>
            <a:t>Pulses </a:t>
          </a:r>
          <a:endParaRPr lang="en-US" sz="1400">
            <a:effectLst/>
          </a:endParaRPr>
        </a:p>
        <a:p>
          <a:r>
            <a:rPr lang="en-US" sz="1400">
              <a:solidFill>
                <a:schemeClr val="lt1"/>
              </a:solidFill>
              <a:effectLst/>
              <a:latin typeface="+mn-lt"/>
              <a:ea typeface="+mn-ea"/>
              <a:cs typeface="+mn-cs"/>
            </a:rPr>
            <a:t>Typically </a:t>
          </a:r>
          <a:r>
            <a:rPr lang="en-US" sz="1400" b="1">
              <a:solidFill>
                <a:schemeClr val="lt1"/>
              </a:solidFill>
              <a:effectLst/>
              <a:latin typeface="+mn-lt"/>
              <a:ea typeface="+mn-ea"/>
              <a:cs typeface="+mn-cs"/>
            </a:rPr>
            <a:t>7–9% range</a:t>
          </a:r>
        </a:p>
        <a:p>
          <a:r>
            <a:rPr lang="en-US" sz="1600" b="1">
              <a:solidFill>
                <a:schemeClr val="lt1"/>
              </a:solidFill>
              <a:effectLst/>
              <a:latin typeface="+mn-lt"/>
              <a:ea typeface="+mn-ea"/>
              <a:cs typeface="+mn-cs"/>
            </a:rPr>
            <a:t>3. Low Contributors:</a:t>
          </a:r>
          <a:endParaRPr lang="en-US" sz="1600">
            <a:effectLst/>
          </a:endParaRPr>
        </a:p>
        <a:p>
          <a:r>
            <a:rPr lang="en-US" sz="1400">
              <a:solidFill>
                <a:schemeClr val="lt1"/>
              </a:solidFill>
              <a:effectLst/>
              <a:latin typeface="+mn-lt"/>
              <a:ea typeface="+mn-ea"/>
              <a:cs typeface="+mn-cs"/>
            </a:rPr>
            <a:t>Sugar </a:t>
          </a:r>
          <a:endParaRPr lang="en-US" sz="1400">
            <a:effectLst/>
          </a:endParaRPr>
        </a:p>
        <a:p>
          <a:r>
            <a:rPr lang="en-US" sz="1400">
              <a:solidFill>
                <a:schemeClr val="lt1"/>
              </a:solidFill>
              <a:effectLst/>
              <a:latin typeface="+mn-lt"/>
              <a:ea typeface="+mn-ea"/>
              <a:cs typeface="+mn-cs"/>
            </a:rPr>
            <a:t>Spices </a:t>
          </a:r>
          <a:endParaRPr lang="en-US" sz="1400">
            <a:effectLst/>
          </a:endParaRPr>
        </a:p>
        <a:p>
          <a:r>
            <a:rPr lang="en-US" sz="1400">
              <a:solidFill>
                <a:schemeClr val="lt1"/>
              </a:solidFill>
              <a:effectLst/>
              <a:latin typeface="+mn-lt"/>
              <a:ea typeface="+mn-ea"/>
              <a:cs typeface="+mn-cs"/>
            </a:rPr>
            <a:t>Eggs </a:t>
          </a:r>
          <a:endParaRPr lang="en-US" sz="1400">
            <a:effectLst/>
          </a:endParaRPr>
        </a:p>
        <a:p>
          <a:r>
            <a:rPr lang="en-US" sz="1400">
              <a:solidFill>
                <a:schemeClr val="lt1"/>
              </a:solidFill>
              <a:effectLst/>
              <a:latin typeface="+mn-lt"/>
              <a:ea typeface="+mn-ea"/>
              <a:cs typeface="+mn-cs"/>
            </a:rPr>
            <a:t>Smaller but necessary consumption items</a:t>
          </a:r>
          <a:endParaRPr lang="en-US" sz="1400">
            <a:effectLst/>
          </a:endParaRPr>
        </a:p>
        <a:p>
          <a:endParaRPr lang="en-US" sz="1400">
            <a:effectLst/>
          </a:endParaRPr>
        </a:p>
        <a:p>
          <a:endParaRPr lang="en-US" sz="1400"/>
        </a:p>
        <a:p>
          <a:pPr algn="l"/>
          <a:endParaRPr lang="en-US" sz="1100"/>
        </a:p>
      </xdr:txBody>
    </xdr:sp>
    <xdr:clientData/>
  </xdr:twoCellAnchor>
  <xdr:twoCellAnchor>
    <xdr:from>
      <xdr:col>6</xdr:col>
      <xdr:colOff>1094866</xdr:colOff>
      <xdr:row>81</xdr:row>
      <xdr:rowOff>87085</xdr:rowOff>
    </xdr:from>
    <xdr:to>
      <xdr:col>10</xdr:col>
      <xdr:colOff>315686</xdr:colOff>
      <xdr:row>95</xdr:row>
      <xdr:rowOff>76199</xdr:rowOff>
    </xdr:to>
    <xdr:sp macro="" textlink="">
      <xdr:nvSpPr>
        <xdr:cNvPr id="8" name="Rectangle 7">
          <a:extLst>
            <a:ext uri="{FF2B5EF4-FFF2-40B4-BE49-F238E27FC236}">
              <a16:creationId xmlns:a16="http://schemas.microsoft.com/office/drawing/2014/main" id="{594F638D-3B15-4CE6-91C6-FD7298CEBE40}"/>
            </a:ext>
          </a:extLst>
        </xdr:cNvPr>
        <xdr:cNvSpPr/>
      </xdr:nvSpPr>
      <xdr:spPr>
        <a:xfrm>
          <a:off x="8225009" y="15283542"/>
          <a:ext cx="4924934" cy="24057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2000" b="1"/>
            <a:t>                    Sector-wise Insight:</a:t>
          </a:r>
        </a:p>
        <a:p>
          <a:r>
            <a:rPr lang="en-US" sz="1400" b="1"/>
            <a:t>Rural</a:t>
          </a:r>
          <a:r>
            <a:rPr lang="en-US" sz="1400"/>
            <a:t> → Higher dependence on </a:t>
          </a:r>
          <a:r>
            <a:rPr lang="en-US" sz="1400" b="1"/>
            <a:t>basic food items (cereals, pulses)</a:t>
          </a:r>
          <a:r>
            <a:rPr lang="en-US" sz="1400"/>
            <a:t> </a:t>
          </a:r>
        </a:p>
        <a:p>
          <a:r>
            <a:rPr lang="en-US" sz="1400" b="1"/>
            <a:t>Urban</a:t>
          </a:r>
          <a:r>
            <a:rPr lang="en-US" sz="1400"/>
            <a:t> → Slightly higher share in: </a:t>
          </a:r>
        </a:p>
        <a:p>
          <a:pPr lvl="1"/>
          <a:r>
            <a:rPr lang="en-US" sz="1400" b="1"/>
            <a:t>Prepared food</a:t>
          </a:r>
          <a:r>
            <a:rPr lang="en-US" sz="1400"/>
            <a:t> </a:t>
          </a:r>
        </a:p>
        <a:p>
          <a:pPr lvl="1"/>
          <a:r>
            <a:rPr lang="en-US" sz="1400" b="1"/>
            <a:t>Dairy &amp; processed items</a:t>
          </a:r>
          <a:r>
            <a:rPr lang="en-US" sz="1400"/>
            <a:t> </a:t>
          </a:r>
        </a:p>
        <a:p>
          <a:r>
            <a:rPr lang="en-US" sz="1400" b="1"/>
            <a:t>Rural+Urban</a:t>
          </a:r>
          <a:r>
            <a:rPr lang="en-US" sz="1400"/>
            <a:t> → Balanced distribution across all food items</a:t>
          </a:r>
        </a:p>
        <a:p>
          <a:pPr algn="l"/>
          <a:endParaRPr lang="en-US" sz="1100"/>
        </a:p>
      </xdr:txBody>
    </xdr:sp>
    <xdr:clientData/>
  </xdr:twoCellAnchor>
  <xdr:twoCellAnchor>
    <xdr:from>
      <xdr:col>13</xdr:col>
      <xdr:colOff>304801</xdr:colOff>
      <xdr:row>81</xdr:row>
      <xdr:rowOff>74496</xdr:rowOff>
    </xdr:from>
    <xdr:to>
      <xdr:col>18</xdr:col>
      <xdr:colOff>97972</xdr:colOff>
      <xdr:row>90</xdr:row>
      <xdr:rowOff>10887</xdr:rowOff>
    </xdr:to>
    <xdr:sp macro="" textlink="">
      <xdr:nvSpPr>
        <xdr:cNvPr id="9" name="Rectangle 8">
          <a:extLst>
            <a:ext uri="{FF2B5EF4-FFF2-40B4-BE49-F238E27FC236}">
              <a16:creationId xmlns:a16="http://schemas.microsoft.com/office/drawing/2014/main" id="{2422894D-F08F-4A21-849B-16014500B529}"/>
            </a:ext>
          </a:extLst>
        </xdr:cNvPr>
        <xdr:cNvSpPr/>
      </xdr:nvSpPr>
      <xdr:spPr>
        <a:xfrm>
          <a:off x="15838715" y="15270953"/>
          <a:ext cx="4920343" cy="153659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2000" b="1"/>
            <a:t>                           Conclusion :</a:t>
          </a:r>
        </a:p>
        <a:p>
          <a:r>
            <a:rPr lang="en-US" sz="1400" b="0"/>
            <a:t>Food inflation is broad-based, but essential staples like cereals, milk, and vegetables dominate consumption, making CPI highly sensitive to fluctuations in these items.</a:t>
          </a:r>
        </a:p>
        <a:p>
          <a:endParaRPr lang="en-US" sz="1100"/>
        </a:p>
      </xdr:txBody>
    </xdr:sp>
    <xdr:clientData/>
  </xdr:twoCellAnchor>
  <xdr:twoCellAnchor>
    <xdr:from>
      <xdr:col>0</xdr:col>
      <xdr:colOff>402771</xdr:colOff>
      <xdr:row>110</xdr:row>
      <xdr:rowOff>54429</xdr:rowOff>
    </xdr:from>
    <xdr:to>
      <xdr:col>3</xdr:col>
      <xdr:colOff>881743</xdr:colOff>
      <xdr:row>121</xdr:row>
      <xdr:rowOff>54429</xdr:rowOff>
    </xdr:to>
    <xdr:sp macro="" textlink="">
      <xdr:nvSpPr>
        <xdr:cNvPr id="10" name="Rectangle: Rounded Corners 9">
          <a:extLst>
            <a:ext uri="{FF2B5EF4-FFF2-40B4-BE49-F238E27FC236}">
              <a16:creationId xmlns:a16="http://schemas.microsoft.com/office/drawing/2014/main" id="{68CD0269-E2B5-8BA0-8446-AEFE272799DC}"/>
            </a:ext>
          </a:extLst>
        </xdr:cNvPr>
        <xdr:cNvSpPr/>
      </xdr:nvSpPr>
      <xdr:spPr>
        <a:xfrm>
          <a:off x="402771" y="20334515"/>
          <a:ext cx="3842658" cy="20356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a:t>🔸 1. Highest Contributor:</a:t>
          </a:r>
        </a:p>
        <a:p>
          <a:r>
            <a:rPr lang="en-US" sz="1200"/>
            <a:t> </a:t>
          </a:r>
          <a:r>
            <a:rPr lang="en-US" sz="1200" b="1"/>
            <a:t>Pan, Tobacco &amp; Intoxicants (27–28%)</a:t>
          </a:r>
          <a:endParaRPr lang="en-US" sz="1200"/>
        </a:p>
        <a:p>
          <a:r>
            <a:rPr lang="en-US" sz="1200"/>
            <a:t>Largest share in all 3 sectors </a:t>
          </a:r>
        </a:p>
        <a:p>
          <a:r>
            <a:rPr lang="en-US" sz="1200"/>
            <a:t>Indicates strong consumption despite being non-essential </a:t>
          </a:r>
        </a:p>
        <a:p>
          <a:r>
            <a:rPr lang="en-US" b="1"/>
            <a:t>2. Other Major Contributors:</a:t>
          </a:r>
        </a:p>
        <a:p>
          <a:r>
            <a:rPr lang="en-US"/>
            <a:t>Personal Care (25–26%) </a:t>
          </a:r>
        </a:p>
        <a:p>
          <a:r>
            <a:rPr lang="en-US"/>
            <a:t>Non-alcoholic beverages (23–24%) </a:t>
          </a:r>
        </a:p>
        <a:p>
          <a:r>
            <a:rPr lang="en-US"/>
            <a:t>Recreation (23–24%) </a:t>
          </a:r>
        </a:p>
        <a:p>
          <a:r>
            <a:rPr lang="en-US"/>
            <a:t>Distribution is relatively </a:t>
          </a:r>
          <a:r>
            <a:rPr lang="en-US" b="1"/>
            <a:t>balanced</a:t>
          </a:r>
          <a:endParaRPr lang="en-US"/>
        </a:p>
        <a:p>
          <a:br>
            <a:rPr lang="en-US"/>
          </a:br>
          <a:endParaRPr lang="en-US"/>
        </a:p>
        <a:p>
          <a:pPr algn="l"/>
          <a:endParaRPr lang="en-US" sz="1100"/>
        </a:p>
      </xdr:txBody>
    </xdr:sp>
    <xdr:clientData/>
  </xdr:twoCellAnchor>
  <xdr:twoCellAnchor>
    <xdr:from>
      <xdr:col>5</xdr:col>
      <xdr:colOff>1077686</xdr:colOff>
      <xdr:row>110</xdr:row>
      <xdr:rowOff>76200</xdr:rowOff>
    </xdr:from>
    <xdr:to>
      <xdr:col>8</xdr:col>
      <xdr:colOff>555173</xdr:colOff>
      <xdr:row>121</xdr:row>
      <xdr:rowOff>76200</xdr:rowOff>
    </xdr:to>
    <xdr:sp macro="" textlink="">
      <xdr:nvSpPr>
        <xdr:cNvPr id="12" name="Rectangle: Rounded Corners 11">
          <a:extLst>
            <a:ext uri="{FF2B5EF4-FFF2-40B4-BE49-F238E27FC236}">
              <a16:creationId xmlns:a16="http://schemas.microsoft.com/office/drawing/2014/main" id="{B25BE244-6973-4BC1-A6FB-3943A7954E57}"/>
            </a:ext>
          </a:extLst>
        </xdr:cNvPr>
        <xdr:cNvSpPr/>
      </xdr:nvSpPr>
      <xdr:spPr>
        <a:xfrm>
          <a:off x="6945086" y="20356286"/>
          <a:ext cx="3842658" cy="20356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800" b="1"/>
            <a:t>             </a:t>
          </a:r>
          <a:r>
            <a:rPr lang="en-US" sz="1800" b="1" baseline="0"/>
            <a:t>     </a:t>
          </a:r>
          <a:r>
            <a:rPr lang="en-US" sz="1800" b="1"/>
            <a:t> Sector Insight:</a:t>
          </a:r>
        </a:p>
        <a:p>
          <a:r>
            <a:rPr lang="en-US" sz="1400" b="1"/>
            <a:t>Urban</a:t>
          </a:r>
          <a:r>
            <a:rPr lang="en-US" sz="1400"/>
            <a:t> → Slightly higher in </a:t>
          </a:r>
          <a:r>
            <a:rPr lang="en-US" sz="1400" b="1"/>
            <a:t>personal care &amp; recreation</a:t>
          </a:r>
          <a:r>
            <a:rPr lang="en-US" sz="1400"/>
            <a:t> </a:t>
          </a:r>
        </a:p>
        <a:p>
          <a:r>
            <a:rPr lang="en-US" sz="1400" b="1"/>
            <a:t>Rural</a:t>
          </a:r>
          <a:r>
            <a:rPr lang="en-US" sz="1400"/>
            <a:t> → Slightly higher in </a:t>
          </a:r>
          <a:r>
            <a:rPr lang="en-US" sz="1400" b="1"/>
            <a:t>tobacco-related consumption</a:t>
          </a:r>
          <a:r>
            <a:rPr lang="en-US" sz="1400"/>
            <a:t> </a:t>
          </a:r>
        </a:p>
        <a:p>
          <a:r>
            <a:rPr lang="en-US" sz="1400" b="1"/>
            <a:t>Combined</a:t>
          </a:r>
          <a:r>
            <a:rPr lang="en-US" sz="1400"/>
            <a:t> → Even distribution</a:t>
          </a:r>
        </a:p>
        <a:p>
          <a:br>
            <a:rPr lang="en-US"/>
          </a:br>
          <a:endParaRPr lang="en-US"/>
        </a:p>
        <a:p>
          <a:pPr algn="l"/>
          <a:endParaRPr lang="en-US" sz="1100"/>
        </a:p>
      </xdr:txBody>
    </xdr:sp>
    <xdr:clientData/>
  </xdr:twoCellAnchor>
  <xdr:twoCellAnchor>
    <xdr:from>
      <xdr:col>10</xdr:col>
      <xdr:colOff>522514</xdr:colOff>
      <xdr:row>110</xdr:row>
      <xdr:rowOff>65314</xdr:rowOff>
    </xdr:from>
    <xdr:to>
      <xdr:col>14</xdr:col>
      <xdr:colOff>250372</xdr:colOff>
      <xdr:row>121</xdr:row>
      <xdr:rowOff>65314</xdr:rowOff>
    </xdr:to>
    <xdr:sp macro="" textlink="">
      <xdr:nvSpPr>
        <xdr:cNvPr id="17" name="Rectangle: Rounded Corners 16">
          <a:extLst>
            <a:ext uri="{FF2B5EF4-FFF2-40B4-BE49-F238E27FC236}">
              <a16:creationId xmlns:a16="http://schemas.microsoft.com/office/drawing/2014/main" id="{FE24051B-1B1E-4CF7-A8B5-ED727D393860}"/>
            </a:ext>
          </a:extLst>
        </xdr:cNvPr>
        <xdr:cNvSpPr/>
      </xdr:nvSpPr>
      <xdr:spPr>
        <a:xfrm>
          <a:off x="13356771" y="20345400"/>
          <a:ext cx="3842658" cy="20356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800" b="1"/>
            <a:t>            Conclusion :</a:t>
          </a:r>
        </a:p>
        <a:p>
          <a:r>
            <a:rPr lang="en-US" sz="1400"/>
            <a:t>Luxury consumption is relatively evenly distributed, but spending on tobacco and personal care dominates, indicating stable demand in non-essential categories.</a:t>
          </a:r>
        </a:p>
        <a:p>
          <a:br>
            <a:rPr lang="en-US"/>
          </a:br>
          <a:endParaRPr lang="en-US"/>
        </a:p>
        <a:p>
          <a:pPr algn="l"/>
          <a:endParaRPr lang="en-US" sz="1100"/>
        </a:p>
      </xdr:txBody>
    </xdr:sp>
    <xdr:clientData/>
  </xdr:twoCellAnchor>
  <xdr:twoCellAnchor>
    <xdr:from>
      <xdr:col>0</xdr:col>
      <xdr:colOff>762000</xdr:colOff>
      <xdr:row>166</xdr:row>
      <xdr:rowOff>65314</xdr:rowOff>
    </xdr:from>
    <xdr:to>
      <xdr:col>5</xdr:col>
      <xdr:colOff>642257</xdr:colOff>
      <xdr:row>173</xdr:row>
      <xdr:rowOff>65314</xdr:rowOff>
    </xdr:to>
    <xdr:sp macro="" textlink="">
      <xdr:nvSpPr>
        <xdr:cNvPr id="18" name="Rectangle: Rounded Corners 17">
          <a:extLst>
            <a:ext uri="{FF2B5EF4-FFF2-40B4-BE49-F238E27FC236}">
              <a16:creationId xmlns:a16="http://schemas.microsoft.com/office/drawing/2014/main" id="{4ADB58F4-4F25-51BB-84A2-C79F449DDAC1}"/>
            </a:ext>
          </a:extLst>
        </xdr:cNvPr>
        <xdr:cNvSpPr/>
      </xdr:nvSpPr>
      <xdr:spPr>
        <a:xfrm>
          <a:off x="762000" y="30708600"/>
          <a:ext cx="5747657" cy="1295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800" b="1"/>
            <a:t>                                        Observations:</a:t>
          </a:r>
        </a:p>
        <a:p>
          <a:r>
            <a:rPr lang="en-US" sz="1200" b="1"/>
            <a:t>Nearly Equal Distribution:</a:t>
          </a:r>
        </a:p>
        <a:p>
          <a:r>
            <a:rPr lang="en-US" sz="1200"/>
            <a:t>Each category contributes roughly </a:t>
          </a:r>
          <a:r>
            <a:rPr lang="en-US" sz="1200" b="1"/>
            <a:t>33–34%</a:t>
          </a:r>
          <a:r>
            <a:rPr lang="en-US" sz="1200"/>
            <a:t> </a:t>
          </a:r>
        </a:p>
        <a:p>
          <a:r>
            <a:rPr lang="en-US" sz="1200"/>
            <a:t>No single dominant sub-category</a:t>
          </a:r>
        </a:p>
        <a:p>
          <a:pPr algn="l"/>
          <a:endParaRPr lang="en-US" sz="1100"/>
        </a:p>
      </xdr:txBody>
    </xdr:sp>
    <xdr:clientData/>
  </xdr:twoCellAnchor>
  <xdr:twoCellAnchor>
    <xdr:from>
      <xdr:col>6</xdr:col>
      <xdr:colOff>1175657</xdr:colOff>
      <xdr:row>166</xdr:row>
      <xdr:rowOff>21771</xdr:rowOff>
    </xdr:from>
    <xdr:to>
      <xdr:col>11</xdr:col>
      <xdr:colOff>163287</xdr:colOff>
      <xdr:row>173</xdr:row>
      <xdr:rowOff>32657</xdr:rowOff>
    </xdr:to>
    <xdr:sp macro="" textlink="">
      <xdr:nvSpPr>
        <xdr:cNvPr id="25" name="Rectangle: Rounded Corners 24">
          <a:extLst>
            <a:ext uri="{FF2B5EF4-FFF2-40B4-BE49-F238E27FC236}">
              <a16:creationId xmlns:a16="http://schemas.microsoft.com/office/drawing/2014/main" id="{890F3204-90D6-46B7-8710-7508484EC010}"/>
            </a:ext>
          </a:extLst>
        </xdr:cNvPr>
        <xdr:cNvSpPr/>
      </xdr:nvSpPr>
      <xdr:spPr>
        <a:xfrm>
          <a:off x="8305800" y="30665057"/>
          <a:ext cx="5747658" cy="13062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800" b="1"/>
            <a:t>                                   Sector Insight:</a:t>
          </a:r>
        </a:p>
        <a:p>
          <a:r>
            <a:rPr lang="en-US" sz="1200" b="1"/>
            <a:t>Rural, Urban, Combined → All show almost identical pattern</a:t>
          </a:r>
          <a:r>
            <a:rPr lang="en-US" sz="1200"/>
            <a:t> </a:t>
          </a:r>
        </a:p>
        <a:p>
          <a:r>
            <a:rPr lang="en-US" sz="1200"/>
            <a:t>Indicates: </a:t>
          </a:r>
        </a:p>
        <a:p>
          <a:pPr lvl="1"/>
          <a:r>
            <a:rPr lang="en-US" sz="1200"/>
            <a:t>Balanced spending on clothing needs </a:t>
          </a:r>
        </a:p>
        <a:p>
          <a:pPr lvl="1"/>
          <a:r>
            <a:rPr lang="en-US" sz="1200"/>
            <a:t>No strong skew toward any sub-category</a:t>
          </a:r>
        </a:p>
        <a:p>
          <a:pPr algn="l"/>
          <a:endParaRPr lang="en-US" sz="1100"/>
        </a:p>
      </xdr:txBody>
    </xdr:sp>
    <xdr:clientData/>
  </xdr:twoCellAnchor>
  <xdr:twoCellAnchor>
    <xdr:from>
      <xdr:col>13</xdr:col>
      <xdr:colOff>228600</xdr:colOff>
      <xdr:row>166</xdr:row>
      <xdr:rowOff>65314</xdr:rowOff>
    </xdr:from>
    <xdr:to>
      <xdr:col>19</xdr:col>
      <xdr:colOff>87086</xdr:colOff>
      <xdr:row>173</xdr:row>
      <xdr:rowOff>76200</xdr:rowOff>
    </xdr:to>
    <xdr:sp macro="" textlink="">
      <xdr:nvSpPr>
        <xdr:cNvPr id="26" name="Rectangle: Rounded Corners 25">
          <a:extLst>
            <a:ext uri="{FF2B5EF4-FFF2-40B4-BE49-F238E27FC236}">
              <a16:creationId xmlns:a16="http://schemas.microsoft.com/office/drawing/2014/main" id="{2E2BF21D-F708-415E-8662-A0653B3907DA}"/>
            </a:ext>
          </a:extLst>
        </xdr:cNvPr>
        <xdr:cNvSpPr/>
      </xdr:nvSpPr>
      <xdr:spPr>
        <a:xfrm>
          <a:off x="15762514" y="30708600"/>
          <a:ext cx="5747658" cy="13062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800" b="1"/>
            <a:t>                             Conclusion :</a:t>
          </a:r>
        </a:p>
        <a:p>
          <a:r>
            <a:rPr lang="en-US" sz="1400"/>
            <a:t>The clothing category shows a uniform distribution across sub-components, indicating consistent consumption patterns without any dominant segment.</a:t>
          </a:r>
        </a:p>
        <a:p>
          <a:pPr algn="l"/>
          <a:endParaRPr lang="en-US" sz="1100"/>
        </a:p>
      </xdr:txBody>
    </xdr:sp>
    <xdr:clientData/>
  </xdr:twoCellAnchor>
  <xdr:twoCellAnchor>
    <xdr:from>
      <xdr:col>7</xdr:col>
      <xdr:colOff>0</xdr:colOff>
      <xdr:row>176</xdr:row>
      <xdr:rowOff>58643</xdr:rowOff>
    </xdr:from>
    <xdr:to>
      <xdr:col>16</xdr:col>
      <xdr:colOff>1420341</xdr:colOff>
      <xdr:row>191</xdr:row>
      <xdr:rowOff>8582</xdr:rowOff>
    </xdr:to>
    <xdr:sp macro="" textlink="">
      <xdr:nvSpPr>
        <xdr:cNvPr id="27" name="Rectangle: Rounded Corners 26">
          <a:extLst>
            <a:ext uri="{FF2B5EF4-FFF2-40B4-BE49-F238E27FC236}">
              <a16:creationId xmlns:a16="http://schemas.microsoft.com/office/drawing/2014/main" id="{F42FB142-E021-444B-BBBC-DEC4AEF99689}"/>
            </a:ext>
          </a:extLst>
        </xdr:cNvPr>
        <xdr:cNvSpPr/>
      </xdr:nvSpPr>
      <xdr:spPr>
        <a:xfrm>
          <a:off x="8477250" y="31395893"/>
          <a:ext cx="11433497" cy="26288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171450" indent="-171450" algn="l">
            <a:buFont typeface="Arial" panose="020B0604020202020204" pitchFamily="34" charset="0"/>
            <a:buChar char="•"/>
          </a:pPr>
          <a:r>
            <a:rPr lang="en-US" sz="1400" b="1" baseline="0">
              <a:latin typeface="Times New Roman" panose="02020603050405020304" pitchFamily="18" charset="0"/>
              <a:cs typeface="Times New Roman" panose="02020603050405020304" pitchFamily="18" charset="0"/>
            </a:rPr>
            <a:t> </a:t>
          </a:r>
          <a:r>
            <a:rPr lang="en-US" sz="1400" b="1">
              <a:latin typeface="Times New Roman" panose="02020603050405020304" pitchFamily="18" charset="0"/>
              <a:cs typeface="Times New Roman" panose="02020603050405020304" pitchFamily="18" charset="0"/>
            </a:rPr>
            <a:t>Food accounts for 46.5% of the CPI basket, making inflation in India highly sensitive to food price fluctuations.</a:t>
          </a:r>
        </a:p>
        <a:p>
          <a:pPr marL="171450" indent="-171450" algn="l">
            <a:buFont typeface="Arial" panose="020B0604020202020204" pitchFamily="34" charset="0"/>
            <a:buChar char="•"/>
          </a:pPr>
          <a:r>
            <a:rPr lang="en-US" sz="1400" b="1">
              <a:latin typeface="Times New Roman" panose="02020603050405020304" pitchFamily="18" charset="0"/>
              <a:cs typeface="Times New Roman" panose="02020603050405020304" pitchFamily="18" charset="0"/>
            </a:rPr>
            <a:t>Luxury (15.9%) and Clothing (12.0%) together form a significant ~28% share, indicating that discretionary consumption plays a meaningful role alongside essential spending. </a:t>
          </a:r>
        </a:p>
        <a:p>
          <a:pPr marL="171450" indent="-171450" algn="l">
            <a:buFont typeface="Arial" panose="020B0604020202020204" pitchFamily="34" charset="0"/>
            <a:buChar char="•"/>
          </a:pPr>
          <a:r>
            <a:rPr lang="en-US" sz="1400" b="1">
              <a:latin typeface="Times New Roman" panose="02020603050405020304" pitchFamily="18" charset="0"/>
              <a:cs typeface="Times New Roman" panose="02020603050405020304" pitchFamily="18" charset="0"/>
            </a:rPr>
            <a:t>Essential categories like Housing (6.4%), Fuel (4.0%), and Health (4.0%) show moderate but stable contributions, suggesting steady baseline inflation in core necessities. </a:t>
          </a:r>
        </a:p>
        <a:p>
          <a:pPr marL="171450" indent="-171450" algn="l">
            <a:buFont typeface="Arial" panose="020B0604020202020204" pitchFamily="34" charset="0"/>
            <a:buChar char="•"/>
          </a:pPr>
          <a:r>
            <a:rPr lang="en-US" sz="1400" b="1">
              <a:latin typeface="Times New Roman" panose="02020603050405020304" pitchFamily="18" charset="0"/>
              <a:cs typeface="Times New Roman" panose="02020603050405020304" pitchFamily="18" charset="0"/>
            </a:rPr>
            <a:t>Low-weight categories such as Education (3.9%), Miscellaneous (3.8%), and Transport (3.6%) have minimal direct influence, but can still act as secondary drivers during economic shocks.</a:t>
          </a:r>
        </a:p>
        <a:p>
          <a:pPr algn="l"/>
          <a:endParaRPr lang="en-US" sz="1400"/>
        </a:p>
      </xdr:txBody>
    </xdr:sp>
    <xdr:clientData/>
  </xdr:twoCellAnchor>
  <xdr:twoCellAnchor>
    <xdr:from>
      <xdr:col>11</xdr:col>
      <xdr:colOff>338224</xdr:colOff>
      <xdr:row>185</xdr:row>
      <xdr:rowOff>45702</xdr:rowOff>
    </xdr:from>
    <xdr:to>
      <xdr:col>16</xdr:col>
      <xdr:colOff>1115540</xdr:colOff>
      <xdr:row>192</xdr:row>
      <xdr:rowOff>60664</xdr:rowOff>
    </xdr:to>
    <xdr:sp macro="" textlink="">
      <xdr:nvSpPr>
        <xdr:cNvPr id="28" name="Rectangle 27">
          <a:extLst>
            <a:ext uri="{FF2B5EF4-FFF2-40B4-BE49-F238E27FC236}">
              <a16:creationId xmlns:a16="http://schemas.microsoft.com/office/drawing/2014/main" id="{9672CBA9-FCE4-43D4-8CEE-B1FD3F88D790}"/>
            </a:ext>
          </a:extLst>
        </xdr:cNvPr>
        <xdr:cNvSpPr/>
      </xdr:nvSpPr>
      <xdr:spPr>
        <a:xfrm>
          <a:off x="14244724" y="32990296"/>
          <a:ext cx="5361222" cy="1265118"/>
        </a:xfrm>
        <a:prstGeom prst="rect">
          <a:avLst/>
        </a:prstGeom>
        <a:solidFill>
          <a:schemeClr val="accent5"/>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sz="1050" b="1">
              <a:solidFill>
                <a:schemeClr val="lt1"/>
              </a:solidFill>
              <a:effectLst/>
              <a:latin typeface="Times New Roman" panose="02020603050405020304" pitchFamily="18" charset="0"/>
              <a:ea typeface="+mn-ea"/>
              <a:cs typeface="Times New Roman" panose="02020603050405020304" pitchFamily="18" charset="0"/>
            </a:rPr>
            <a:t> Caveats</a:t>
          </a:r>
          <a:endParaRPr lang="en-US" sz="1050" b="1">
            <a:effectLst/>
            <a:latin typeface="Times New Roman" panose="02020603050405020304" pitchFamily="18" charset="0"/>
            <a:cs typeface="Times New Roman" panose="02020603050405020304" pitchFamily="18" charset="0"/>
          </a:endParaRPr>
        </a:p>
        <a:p>
          <a:r>
            <a:rPr lang="en-US" sz="1050" b="0">
              <a:solidFill>
                <a:schemeClr val="lt1"/>
              </a:solidFill>
              <a:effectLst/>
              <a:latin typeface="Times New Roman" panose="02020603050405020304" pitchFamily="18" charset="0"/>
              <a:ea typeface="+mn-ea"/>
              <a:cs typeface="Times New Roman" panose="02020603050405020304" pitchFamily="18" charset="0"/>
            </a:rPr>
            <a:t>The analysis is based on CPI data for the month of May across years (2013–2023) to ensure consistency. This approach may not capture seasonal variations, and 2023 reflects partial-year data.</a:t>
          </a:r>
          <a:endParaRPr lang="en-US" sz="1050" b="0">
            <a:effectLst/>
            <a:latin typeface="Times New Roman" panose="02020603050405020304" pitchFamily="18" charset="0"/>
            <a:cs typeface="Times New Roman" panose="02020603050405020304" pitchFamily="18" charset="0"/>
          </a:endParaRPr>
        </a:p>
        <a:p>
          <a:r>
            <a:rPr lang="en-US" sz="1050" b="1">
              <a:solidFill>
                <a:schemeClr val="lt1"/>
              </a:solidFill>
              <a:effectLst/>
              <a:latin typeface="Times New Roman" panose="02020603050405020304" pitchFamily="18" charset="0"/>
              <a:ea typeface="+mn-ea"/>
              <a:cs typeface="Times New Roman" panose="02020603050405020304" pitchFamily="18" charset="0"/>
            </a:rPr>
            <a:t> Methodology</a:t>
          </a:r>
          <a:endParaRPr lang="en-US" sz="1050" b="1">
            <a:effectLst/>
            <a:latin typeface="Times New Roman" panose="02020603050405020304" pitchFamily="18" charset="0"/>
            <a:cs typeface="Times New Roman" panose="02020603050405020304" pitchFamily="18" charset="0"/>
          </a:endParaRPr>
        </a:p>
        <a:p>
          <a:r>
            <a:rPr lang="en-US" sz="1050" b="0">
              <a:latin typeface="Times New Roman" panose="02020603050405020304" pitchFamily="18" charset="0"/>
              <a:cs typeface="Times New Roman" panose="02020603050405020304" pitchFamily="18" charset="0"/>
            </a:rPr>
            <a:t>Contribution (%) = (Category CPI Index / Total CPI Index) × 100.</a:t>
          </a:r>
          <a:br>
            <a:rPr lang="en-US" sz="1050" b="0">
              <a:latin typeface="Times New Roman" panose="02020603050405020304" pitchFamily="18" charset="0"/>
              <a:cs typeface="Times New Roman" panose="02020603050405020304" pitchFamily="18" charset="0"/>
            </a:rPr>
          </a:br>
          <a:r>
            <a:rPr lang="en-US" sz="1050" b="0">
              <a:latin typeface="Times New Roman" panose="02020603050405020304" pitchFamily="18" charset="0"/>
              <a:cs typeface="Times New Roman" panose="02020603050405020304" pitchFamily="18" charset="0"/>
            </a:rPr>
            <a:t>For the purpose of this analysis, equal weighting across categories has been assumed.</a:t>
          </a:r>
        </a:p>
      </xdr:txBody>
    </xdr:sp>
    <xdr:clientData/>
  </xdr:twoCellAnchor>
  <xdr:twoCellAnchor>
    <xdr:from>
      <xdr:col>9</xdr:col>
      <xdr:colOff>556728</xdr:colOff>
      <xdr:row>175</xdr:row>
      <xdr:rowOff>0</xdr:rowOff>
    </xdr:from>
    <xdr:to>
      <xdr:col>11</xdr:col>
      <xdr:colOff>543381</xdr:colOff>
      <xdr:row>177</xdr:row>
      <xdr:rowOff>22491</xdr:rowOff>
    </xdr:to>
    <xdr:sp macro="" textlink="">
      <xdr:nvSpPr>
        <xdr:cNvPr id="29" name="Rectangle: Rounded Corners 28">
          <a:extLst>
            <a:ext uri="{FF2B5EF4-FFF2-40B4-BE49-F238E27FC236}">
              <a16:creationId xmlns:a16="http://schemas.microsoft.com/office/drawing/2014/main" id="{51A3FF1E-6B09-4D0D-8DA1-7C92AD8B9AD3}"/>
            </a:ext>
          </a:extLst>
        </xdr:cNvPr>
        <xdr:cNvSpPr/>
      </xdr:nvSpPr>
      <xdr:spPr>
        <a:xfrm>
          <a:off x="12641572" y="31158656"/>
          <a:ext cx="1808309" cy="379679"/>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Key Insight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106680</xdr:colOff>
      <xdr:row>10</xdr:row>
      <xdr:rowOff>156210</xdr:rowOff>
    </xdr:from>
    <xdr:to>
      <xdr:col>14</xdr:col>
      <xdr:colOff>441960</xdr:colOff>
      <xdr:row>25</xdr:row>
      <xdr:rowOff>156210</xdr:rowOff>
    </xdr:to>
    <xdr:graphicFrame macro="">
      <xdr:nvGraphicFramePr>
        <xdr:cNvPr id="3" name="Chart 2">
          <a:extLst>
            <a:ext uri="{FF2B5EF4-FFF2-40B4-BE49-F238E27FC236}">
              <a16:creationId xmlns:a16="http://schemas.microsoft.com/office/drawing/2014/main" id="{8B63345D-9B54-0181-4FCC-A19B826A6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495300</xdr:colOff>
      <xdr:row>0</xdr:row>
      <xdr:rowOff>76200</xdr:rowOff>
    </xdr:from>
    <xdr:to>
      <xdr:col>17</xdr:col>
      <xdr:colOff>39193</xdr:colOff>
      <xdr:row>6</xdr:row>
      <xdr:rowOff>98277</xdr:rowOff>
    </xdr:to>
    <xdr:sp macro="" textlink="">
      <xdr:nvSpPr>
        <xdr:cNvPr id="2" name="Rectangle 1">
          <a:extLst>
            <a:ext uri="{FF2B5EF4-FFF2-40B4-BE49-F238E27FC236}">
              <a16:creationId xmlns:a16="http://schemas.microsoft.com/office/drawing/2014/main" id="{2F076727-6D7A-4A10-9E9D-D05F34FB42E6}"/>
            </a:ext>
          </a:extLst>
        </xdr:cNvPr>
        <xdr:cNvSpPr/>
      </xdr:nvSpPr>
      <xdr:spPr>
        <a:xfrm>
          <a:off x="4754880" y="76200"/>
          <a:ext cx="6859093" cy="1119357"/>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Times New Roman" panose="02020603050405020304" pitchFamily="18" charset="0"/>
              <a:cs typeface="Times New Roman" panose="02020603050405020304" pitchFamily="18" charset="0"/>
            </a:rPr>
            <a:t>The YoY CPI inflation trend  shows a fluctuating pattern from 2018 to 2023. Inflation declined from 4.9% in 2018 to 3.6% in 2019, followed by a sharp increase to 6.3% in 2020. It remained elevated in 2021 (6.2%) and further peaked at 7.0% in 2022, before moderating to 4.3% in 2023.</a:t>
          </a:r>
        </a:p>
      </xdr:txBody>
    </xdr:sp>
    <xdr:clientData/>
  </xdr:twoCellAnchor>
  <xdr:twoCellAnchor>
    <xdr:from>
      <xdr:col>0</xdr:col>
      <xdr:colOff>0</xdr:colOff>
      <xdr:row>9</xdr:row>
      <xdr:rowOff>156436</xdr:rowOff>
    </xdr:from>
    <xdr:to>
      <xdr:col>4</xdr:col>
      <xdr:colOff>601980</xdr:colOff>
      <xdr:row>26</xdr:row>
      <xdr:rowOff>106680</xdr:rowOff>
    </xdr:to>
    <xdr:sp macro="" textlink="">
      <xdr:nvSpPr>
        <xdr:cNvPr id="4" name="Rectangle: Rounded Corners 3">
          <a:extLst>
            <a:ext uri="{FF2B5EF4-FFF2-40B4-BE49-F238E27FC236}">
              <a16:creationId xmlns:a16="http://schemas.microsoft.com/office/drawing/2014/main" id="{D5A6FCAE-AF45-4CBE-9965-9CCB557F6DDE}"/>
            </a:ext>
          </a:extLst>
        </xdr:cNvPr>
        <xdr:cNvSpPr/>
      </xdr:nvSpPr>
      <xdr:spPr>
        <a:xfrm>
          <a:off x="0" y="1802356"/>
          <a:ext cx="4175760" cy="30592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latin typeface="Times New Roman" panose="02020603050405020304" pitchFamily="18" charset="0"/>
            <a:cs typeface="Times New Roman" panose="02020603050405020304" pitchFamily="18" charset="0"/>
          </a:endParaRPr>
        </a:p>
        <a:p>
          <a:pPr algn="l"/>
          <a:r>
            <a:rPr lang="en-US" sz="1400" b="1">
              <a:latin typeface="Times New Roman" panose="02020603050405020304" pitchFamily="18" charset="0"/>
              <a:cs typeface="Times New Roman" panose="02020603050405020304" pitchFamily="18" charset="0"/>
            </a:rPr>
            <a:t>Inflation reached its highest level in 2022 at 7.0%, marking the peak during the observed period. </a:t>
          </a:r>
        </a:p>
        <a:p>
          <a:pPr algn="l"/>
          <a:r>
            <a:rPr lang="en-US" sz="1400" b="1">
              <a:latin typeface="Times New Roman" panose="02020603050405020304" pitchFamily="18" charset="0"/>
              <a:cs typeface="Times New Roman" panose="02020603050405020304" pitchFamily="18" charset="0"/>
            </a:rPr>
            <a:t>A sharp rise in inflation from 2019 (3.6%) to 2020 (6.3%) indicates the beginning of a high inflation phase.</a:t>
          </a:r>
        </a:p>
        <a:p>
          <a:pPr algn="l"/>
          <a:r>
            <a:rPr lang="en-US" sz="1400" b="1">
              <a:latin typeface="Times New Roman" panose="02020603050405020304" pitchFamily="18" charset="0"/>
              <a:cs typeface="Times New Roman" panose="02020603050405020304" pitchFamily="18" charset="0"/>
            </a:rPr>
            <a:t>Inflation remained consistently high during 2020–2022, suggesting prolonged economic pressure. </a:t>
          </a:r>
        </a:p>
        <a:p>
          <a:pPr algn="l"/>
          <a:r>
            <a:rPr lang="en-US" sz="1400" b="1">
              <a:latin typeface="Times New Roman" panose="02020603050405020304" pitchFamily="18" charset="0"/>
              <a:cs typeface="Times New Roman" panose="02020603050405020304" pitchFamily="18" charset="0"/>
            </a:rPr>
            <a:t>The decline to 4.3% in 2023 indicates early signs of inflation stabilization.</a:t>
          </a:r>
        </a:p>
      </xdr:txBody>
    </xdr:sp>
    <xdr:clientData/>
  </xdr:twoCellAnchor>
  <xdr:twoCellAnchor>
    <xdr:from>
      <xdr:col>0</xdr:col>
      <xdr:colOff>1124696</xdr:colOff>
      <xdr:row>9</xdr:row>
      <xdr:rowOff>175260</xdr:rowOff>
    </xdr:from>
    <xdr:to>
      <xdr:col>3</xdr:col>
      <xdr:colOff>332912</xdr:colOff>
      <xdr:row>11</xdr:row>
      <xdr:rowOff>182619</xdr:rowOff>
    </xdr:to>
    <xdr:sp macro="" textlink="">
      <xdr:nvSpPr>
        <xdr:cNvPr id="5" name="Rectangle: Rounded Corners 4">
          <a:extLst>
            <a:ext uri="{FF2B5EF4-FFF2-40B4-BE49-F238E27FC236}">
              <a16:creationId xmlns:a16="http://schemas.microsoft.com/office/drawing/2014/main" id="{82034E6E-2790-4BDE-AE39-201CE143D6C6}"/>
            </a:ext>
          </a:extLst>
        </xdr:cNvPr>
        <xdr:cNvSpPr/>
      </xdr:nvSpPr>
      <xdr:spPr>
        <a:xfrm>
          <a:off x="1124696" y="1821180"/>
          <a:ext cx="1799016" cy="373119"/>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Key Insight</a:t>
          </a:r>
        </a:p>
      </xdr:txBody>
    </xdr:sp>
    <xdr:clientData/>
  </xdr:twoCellAnchor>
  <xdr:twoCellAnchor>
    <xdr:from>
      <xdr:col>0</xdr:col>
      <xdr:colOff>701040</xdr:colOff>
      <xdr:row>27</xdr:row>
      <xdr:rowOff>60960</xdr:rowOff>
    </xdr:from>
    <xdr:to>
      <xdr:col>14</xdr:col>
      <xdr:colOff>274320</xdr:colOff>
      <xdr:row>33</xdr:row>
      <xdr:rowOff>160020</xdr:rowOff>
    </xdr:to>
    <xdr:sp macro="" textlink="">
      <xdr:nvSpPr>
        <xdr:cNvPr id="6" name="Rectangle 5">
          <a:extLst>
            <a:ext uri="{FF2B5EF4-FFF2-40B4-BE49-F238E27FC236}">
              <a16:creationId xmlns:a16="http://schemas.microsoft.com/office/drawing/2014/main" id="{F800564C-CDA6-D520-8367-BE0BB1D3C051}"/>
            </a:ext>
          </a:extLst>
        </xdr:cNvPr>
        <xdr:cNvSpPr/>
      </xdr:nvSpPr>
      <xdr:spPr>
        <a:xfrm>
          <a:off x="701040" y="4998720"/>
          <a:ext cx="9319260" cy="11963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Times New Roman" panose="02020603050405020304" pitchFamily="18" charset="0"/>
              <a:cs typeface="Times New Roman" panose="02020603050405020304" pitchFamily="18" charset="0"/>
            </a:rPr>
            <a:t>                                                                                </a:t>
          </a:r>
          <a:r>
            <a:rPr lang="en-US" sz="1800" b="1"/>
            <a:t>REASON FOR HIGHEST INFLATION</a:t>
          </a:r>
          <a:endParaRPr lang="en-US" sz="1800" b="1">
            <a:latin typeface="Times New Roman" panose="02020603050405020304" pitchFamily="18" charset="0"/>
            <a:cs typeface="Times New Roman" panose="02020603050405020304" pitchFamily="18" charset="0"/>
          </a:endParaRPr>
        </a:p>
        <a:p>
          <a:pPr algn="l"/>
          <a:r>
            <a:rPr lang="en-US" sz="1200" b="1">
              <a:latin typeface="Times New Roman" panose="02020603050405020304" pitchFamily="18" charset="0"/>
              <a:cs typeface="Times New Roman" panose="02020603050405020304" pitchFamily="18" charset="0"/>
            </a:rPr>
            <a:t>The peak in </a:t>
          </a:r>
          <a:r>
            <a:rPr lang="en-US" sz="1200" b="1">
              <a:solidFill>
                <a:schemeClr val="lt1"/>
              </a:solidFill>
              <a:latin typeface="Times New Roman" panose="02020603050405020304" pitchFamily="18" charset="0"/>
              <a:ea typeface="+mn-ea"/>
              <a:cs typeface="Times New Roman" panose="02020603050405020304" pitchFamily="18" charset="0"/>
            </a:rPr>
            <a:t>inflation</a:t>
          </a:r>
          <a:r>
            <a:rPr lang="en-US" sz="1200" b="1">
              <a:latin typeface="Times New Roman" panose="02020603050405020304" pitchFamily="18" charset="0"/>
              <a:cs typeface="Times New Roman" panose="02020603050405020304" pitchFamily="18" charset="0"/>
            </a:rPr>
            <a:t> in 2022 can be attributed to multiple global and domestic factors. The post-COVID economic recovery led to a surge in demand, while supply chains were still disrupted. Additionally, rising global crude oil prices and geopolitical tensions significantly increased transportation and fuel costs, which in turn impacted overall CPI inflation, especially through food and essential commodities</a:t>
          </a:r>
          <a:r>
            <a:rPr lang="en-US"/>
            <a:t>.</a:t>
          </a:r>
          <a:endParaRPr lang="en-US" sz="1100"/>
        </a:p>
      </xdr:txBody>
    </xdr:sp>
    <xdr:clientData/>
  </xdr:twoCellAnchor>
  <xdr:twoCellAnchor>
    <xdr:from>
      <xdr:col>0</xdr:col>
      <xdr:colOff>190500</xdr:colOff>
      <xdr:row>36</xdr:row>
      <xdr:rowOff>17357</xdr:rowOff>
    </xdr:from>
    <xdr:to>
      <xdr:col>19</xdr:col>
      <xdr:colOff>483656</xdr:colOff>
      <xdr:row>40</xdr:row>
      <xdr:rowOff>32076</xdr:rowOff>
    </xdr:to>
    <xdr:sp macro="" textlink="">
      <xdr:nvSpPr>
        <xdr:cNvPr id="7" name="Rectangle: Rounded Corners 6">
          <a:extLst>
            <a:ext uri="{FF2B5EF4-FFF2-40B4-BE49-F238E27FC236}">
              <a16:creationId xmlns:a16="http://schemas.microsoft.com/office/drawing/2014/main" id="{612AA6AD-9503-4BB0-B15F-FF60DBCD3B1A}"/>
            </a:ext>
          </a:extLst>
        </xdr:cNvPr>
        <xdr:cNvSpPr/>
      </xdr:nvSpPr>
      <xdr:spPr>
        <a:xfrm>
          <a:off x="190500" y="6601037"/>
          <a:ext cx="13087136" cy="746239"/>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latin typeface="Times New Roman" panose="02020603050405020304" pitchFamily="18" charset="0"/>
              <a:cs typeface="Times New Roman" panose="02020603050405020304" pitchFamily="18" charset="0"/>
            </a:rPr>
            <a:t>The inflation trend largely reflects the effects of external shocks like the COVID-19 pandemic and fluctuations in global commodity prices, with 2022 standing out as the peak inflation year due to simultaneous demand and supply imbalances.</a:t>
          </a:r>
        </a:p>
        <a:p>
          <a:pPr algn="l"/>
          <a:endParaRPr lang="en-US" sz="1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525583</xdr:colOff>
      <xdr:row>34</xdr:row>
      <xdr:rowOff>106680</xdr:rowOff>
    </xdr:from>
    <xdr:to>
      <xdr:col>9</xdr:col>
      <xdr:colOff>434342</xdr:colOff>
      <xdr:row>36</xdr:row>
      <xdr:rowOff>24022</xdr:rowOff>
    </xdr:to>
    <xdr:sp macro="" textlink="">
      <xdr:nvSpPr>
        <xdr:cNvPr id="8" name="TextBox 7">
          <a:extLst>
            <a:ext uri="{FF2B5EF4-FFF2-40B4-BE49-F238E27FC236}">
              <a16:creationId xmlns:a16="http://schemas.microsoft.com/office/drawing/2014/main" id="{40C0597B-BFE1-48D0-950C-42639F7C4A7D}"/>
            </a:ext>
          </a:extLst>
        </xdr:cNvPr>
        <xdr:cNvSpPr txBox="1"/>
      </xdr:nvSpPr>
      <xdr:spPr>
        <a:xfrm>
          <a:off x="4785163" y="6324600"/>
          <a:ext cx="2347159" cy="283102"/>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lt1"/>
              </a:solidFill>
              <a:latin typeface="+mn-lt"/>
              <a:ea typeface="+mn-ea"/>
              <a:cs typeface="+mn-cs"/>
            </a:rPr>
            <a:t>CONCLUSION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910166</xdr:colOff>
      <xdr:row>65</xdr:row>
      <xdr:rowOff>39510</xdr:rowOff>
    </xdr:from>
    <xdr:to>
      <xdr:col>12</xdr:col>
      <xdr:colOff>529166</xdr:colOff>
      <xdr:row>83</xdr:row>
      <xdr:rowOff>146988</xdr:rowOff>
    </xdr:to>
    <xdr:graphicFrame macro="">
      <xdr:nvGraphicFramePr>
        <xdr:cNvPr id="2" name="Chart 1">
          <a:extLst>
            <a:ext uri="{FF2B5EF4-FFF2-40B4-BE49-F238E27FC236}">
              <a16:creationId xmlns:a16="http://schemas.microsoft.com/office/drawing/2014/main" id="{B24525B1-6673-B70D-112B-21353FA59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724370</xdr:colOff>
      <xdr:row>85</xdr:row>
      <xdr:rowOff>138289</xdr:rowOff>
    </xdr:from>
    <xdr:to>
      <xdr:col>16</xdr:col>
      <xdr:colOff>338667</xdr:colOff>
      <xdr:row>102</xdr:row>
      <xdr:rowOff>65852</xdr:rowOff>
    </xdr:to>
    <xdr:graphicFrame macro="">
      <xdr:nvGraphicFramePr>
        <xdr:cNvPr id="6" name="Chart 5">
          <a:extLst>
            <a:ext uri="{FF2B5EF4-FFF2-40B4-BE49-F238E27FC236}">
              <a16:creationId xmlns:a16="http://schemas.microsoft.com/office/drawing/2014/main" id="{2F5408BE-5A62-2C36-66B5-63242E94B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677331</xdr:colOff>
      <xdr:row>85</xdr:row>
      <xdr:rowOff>138289</xdr:rowOff>
    </xdr:from>
    <xdr:to>
      <xdr:col>9</xdr:col>
      <xdr:colOff>602073</xdr:colOff>
      <xdr:row>102</xdr:row>
      <xdr:rowOff>94074</xdr:rowOff>
    </xdr:to>
    <xdr:graphicFrame macro="">
      <xdr:nvGraphicFramePr>
        <xdr:cNvPr id="7" name="Chart 6">
          <a:extLst>
            <a:ext uri="{FF2B5EF4-FFF2-40B4-BE49-F238E27FC236}">
              <a16:creationId xmlns:a16="http://schemas.microsoft.com/office/drawing/2014/main" id="{54D0DBBB-7895-D08D-E353-FE5E79DF0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595344</xdr:colOff>
      <xdr:row>2</xdr:row>
      <xdr:rowOff>94074</xdr:rowOff>
    </xdr:from>
    <xdr:to>
      <xdr:col>8</xdr:col>
      <xdr:colOff>696851</xdr:colOff>
      <xdr:row>6</xdr:row>
      <xdr:rowOff>654</xdr:rowOff>
    </xdr:to>
    <mc:AlternateContent xmlns:mc="http://schemas.openxmlformats.org/markup-compatibility/2006" xmlns:sle15="http://schemas.microsoft.com/office/drawing/2012/slicer">
      <mc:Choice Requires="sle15">
        <xdr:graphicFrame macro="">
          <xdr:nvGraphicFramePr>
            <xdr:cNvPr id="5" name="Sector 1">
              <a:extLst>
                <a:ext uri="{FF2B5EF4-FFF2-40B4-BE49-F238E27FC236}">
                  <a16:creationId xmlns:a16="http://schemas.microsoft.com/office/drawing/2014/main" id="{28F9BF5D-A697-1464-E78D-45074ADE8638}"/>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3623826" y="451555"/>
              <a:ext cx="5802396" cy="61148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2</xdr:col>
      <xdr:colOff>557013</xdr:colOff>
      <xdr:row>48</xdr:row>
      <xdr:rowOff>171685</xdr:rowOff>
    </xdr:from>
    <xdr:to>
      <xdr:col>4</xdr:col>
      <xdr:colOff>297368</xdr:colOff>
      <xdr:row>62</xdr:row>
      <xdr:rowOff>136290</xdr:rowOff>
    </xdr:to>
    <mc:AlternateContent xmlns:mc="http://schemas.openxmlformats.org/markup-compatibility/2006" xmlns:a14="http://schemas.microsoft.com/office/drawing/2010/main">
      <mc:Choice Requires="a14">
        <xdr:graphicFrame macro="">
          <xdr:nvGraphicFramePr>
            <xdr:cNvPr id="8" name="Sector">
              <a:extLst>
                <a:ext uri="{FF2B5EF4-FFF2-40B4-BE49-F238E27FC236}">
                  <a16:creationId xmlns:a16="http://schemas.microsoft.com/office/drawing/2014/main" id="{930AB88C-C5FD-BB53-8636-5CEE3E35D031}"/>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2438494" y="392524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85</xdr:row>
      <xdr:rowOff>147697</xdr:rowOff>
    </xdr:from>
    <xdr:to>
      <xdr:col>5</xdr:col>
      <xdr:colOff>517408</xdr:colOff>
      <xdr:row>102</xdr:row>
      <xdr:rowOff>94074</xdr:rowOff>
    </xdr:to>
    <xdr:graphicFrame macro="">
      <xdr:nvGraphicFramePr>
        <xdr:cNvPr id="11" name="Chart 10">
          <a:extLst>
            <a:ext uri="{FF2B5EF4-FFF2-40B4-BE49-F238E27FC236}">
              <a16:creationId xmlns:a16="http://schemas.microsoft.com/office/drawing/2014/main" id="{A1CB49E1-D124-371A-0457-EE0F07EAE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116418</xdr:colOff>
      <xdr:row>48</xdr:row>
      <xdr:rowOff>31750</xdr:rowOff>
    </xdr:from>
    <xdr:to>
      <xdr:col>18</xdr:col>
      <xdr:colOff>730250</xdr:colOff>
      <xdr:row>62</xdr:row>
      <xdr:rowOff>35339</xdr:rowOff>
    </xdr:to>
    <xdr:sp macro="" textlink="">
      <xdr:nvSpPr>
        <xdr:cNvPr id="3" name="Rectangle: Rounded Corners 2">
          <a:extLst>
            <a:ext uri="{FF2B5EF4-FFF2-40B4-BE49-F238E27FC236}">
              <a16:creationId xmlns:a16="http://schemas.microsoft.com/office/drawing/2014/main" id="{EC5EE632-5382-43CE-93B1-2A66C4FAA257}"/>
            </a:ext>
          </a:extLst>
        </xdr:cNvPr>
        <xdr:cNvSpPr/>
      </xdr:nvSpPr>
      <xdr:spPr>
        <a:xfrm>
          <a:off x="10858501" y="8487833"/>
          <a:ext cx="8932332" cy="2522423"/>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Times New Roman" panose="02020603050405020304" pitchFamily="18" charset="0"/>
              <a:cs typeface="Times New Roman" panose="02020603050405020304" pitchFamily="18" charset="0"/>
            </a:rPr>
            <a:t>A</a:t>
          </a:r>
          <a:r>
            <a:rPr lang="en-US" sz="1400" b="1" baseline="0">
              <a:latin typeface="Times New Roman" panose="02020603050405020304" pitchFamily="18" charset="0"/>
              <a:cs typeface="Times New Roman" panose="02020603050405020304" pitchFamily="18" charset="0"/>
            </a:rPr>
            <a:t> </a:t>
          </a:r>
          <a:r>
            <a:rPr lang="en-US" sz="1400" b="1">
              <a:latin typeface="Times New Roman" panose="02020603050405020304" pitchFamily="18" charset="0"/>
              <a:cs typeface="Times New Roman" panose="02020603050405020304" pitchFamily="18" charset="0"/>
            </a:rPr>
            <a:t>consistent and synchronized trend in food inflation is observed, with prices rising steadily during mid to late 2022, peaking around October–November 2022, followed by a slight moderation in early 2023, and then increasing again towards May 2023. November 2022 marks the peak inflation period, while May 2022 represents the lowest level, indicating a broad-based rise in food prices across regions rather than a sector-specific movement. This pattern highlights that food inflation is primarily driven by key essential commodities, particularly high-weight staples such as cereals (12%) and spices (16–17%), which show strong upward pressure across all sectors. At the same time, significant declines in categories like oils (17% to 19%) and vegetables (6% to 7%) partially offset the overall inflationary impact, reflecting a mixed but synchronized inflation trend across the CPI basket.</a:t>
          </a:r>
        </a:p>
      </xdr:txBody>
    </xdr:sp>
    <xdr:clientData/>
  </xdr:twoCellAnchor>
  <xdr:twoCellAnchor>
    <xdr:from>
      <xdr:col>0</xdr:col>
      <xdr:colOff>0</xdr:colOff>
      <xdr:row>103</xdr:row>
      <xdr:rowOff>17506</xdr:rowOff>
    </xdr:from>
    <xdr:to>
      <xdr:col>3</xdr:col>
      <xdr:colOff>591070</xdr:colOff>
      <xdr:row>115</xdr:row>
      <xdr:rowOff>71245</xdr:rowOff>
    </xdr:to>
    <xdr:sp macro="" textlink="">
      <xdr:nvSpPr>
        <xdr:cNvPr id="4" name="Rectangle 3">
          <a:extLst>
            <a:ext uri="{FF2B5EF4-FFF2-40B4-BE49-F238E27FC236}">
              <a16:creationId xmlns:a16="http://schemas.microsoft.com/office/drawing/2014/main" id="{A1F72A78-ED18-4010-8AF7-01DBD92900C4}"/>
            </a:ext>
          </a:extLst>
        </xdr:cNvPr>
        <xdr:cNvSpPr/>
      </xdr:nvSpPr>
      <xdr:spPr>
        <a:xfrm>
          <a:off x="0" y="18369006"/>
          <a:ext cx="3660237" cy="2212739"/>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sz="1800" b="1">
              <a:latin typeface="Times New Roman" panose="02020603050405020304" pitchFamily="18" charset="0"/>
              <a:cs typeface="Times New Roman" panose="02020603050405020304" pitchFamily="18" charset="0"/>
            </a:rPr>
            <a:t>                  High Spikes:</a:t>
          </a:r>
        </a:p>
        <a:p>
          <a:endParaRPr lang="en-US" sz="1200" b="1">
            <a:latin typeface="Times New Roman" panose="02020603050405020304" pitchFamily="18" charset="0"/>
            <a:cs typeface="Times New Roman" panose="02020603050405020304" pitchFamily="18" charset="0"/>
          </a:endParaRPr>
        </a:p>
        <a:p>
          <a:pPr marL="171450" indent="-171450">
            <a:buFont typeface="Arial" panose="020B0604020202020204" pitchFamily="34" charset="0"/>
            <a:buChar char="•"/>
          </a:pPr>
          <a:r>
            <a:rPr lang="en-US" sz="1200" b="0">
              <a:latin typeface="Times New Roman" panose="02020603050405020304" pitchFamily="18" charset="0"/>
              <a:cs typeface="Times New Roman" panose="02020603050405020304" pitchFamily="18" charset="0"/>
            </a:rPr>
            <a:t>Spices show the highest spike in Rural (+17.21%), compared to 16.6% in Rural+Urban, indicating stronger price surge in rural markets </a:t>
          </a:r>
        </a:p>
        <a:p>
          <a:pPr marL="171450" indent="-171450">
            <a:buFont typeface="Arial" panose="020B0604020202020204" pitchFamily="34" charset="0"/>
            <a:buChar char="•"/>
          </a:pPr>
          <a:r>
            <a:rPr lang="en-US" sz="1200" b="0">
              <a:latin typeface="Times New Roman" panose="02020603050405020304" pitchFamily="18" charset="0"/>
              <a:cs typeface="Times New Roman" panose="02020603050405020304" pitchFamily="18" charset="0"/>
            </a:rPr>
            <a:t>Cereals increased sharply in Rural (+12.6%), Urban (11–12%), and Rural+Urban (+12.1%), confirming strong inflation in staple food across all sectors </a:t>
          </a:r>
        </a:p>
        <a:p>
          <a:pPr marL="171450" indent="-171450">
            <a:buFont typeface="Arial" panose="020B0604020202020204" pitchFamily="34" charset="0"/>
            <a:buChar char="•"/>
          </a:pPr>
          <a:r>
            <a:rPr lang="en-US" sz="1200" b="0">
              <a:latin typeface="Times New Roman" panose="02020603050405020304" pitchFamily="18" charset="0"/>
              <a:cs typeface="Times New Roman" panose="02020603050405020304" pitchFamily="18" charset="0"/>
            </a:rPr>
            <a:t>Oils &amp; Fats recorded the biggest negative spike, with –18.9% in Rural and –17.2% in Rural+Urban, showing a sharp correction</a:t>
          </a:r>
        </a:p>
        <a:p>
          <a:pPr algn="l"/>
          <a:endParaRPr lang="en-US" sz="1200">
            <a:latin typeface="Times New Roman" panose="02020603050405020304" pitchFamily="18" charset="0"/>
            <a:cs typeface="Times New Roman" panose="02020603050405020304" pitchFamily="18" charset="0"/>
          </a:endParaRPr>
        </a:p>
      </xdr:txBody>
    </xdr:sp>
    <xdr:clientData/>
  </xdr:twoCellAnchor>
  <xdr:twoCellAnchor>
    <xdr:from>
      <xdr:col>3</xdr:col>
      <xdr:colOff>866392</xdr:colOff>
      <xdr:row>103</xdr:row>
      <xdr:rowOff>8860</xdr:rowOff>
    </xdr:from>
    <xdr:to>
      <xdr:col>7</xdr:col>
      <xdr:colOff>295194</xdr:colOff>
      <xdr:row>115</xdr:row>
      <xdr:rowOff>61266</xdr:rowOff>
    </xdr:to>
    <xdr:sp macro="" textlink="">
      <xdr:nvSpPr>
        <xdr:cNvPr id="9" name="Rectangle 8">
          <a:extLst>
            <a:ext uri="{FF2B5EF4-FFF2-40B4-BE49-F238E27FC236}">
              <a16:creationId xmlns:a16="http://schemas.microsoft.com/office/drawing/2014/main" id="{C2333F4F-BF21-4E22-9C84-CF3490CA9C2F}"/>
            </a:ext>
          </a:extLst>
        </xdr:cNvPr>
        <xdr:cNvSpPr/>
      </xdr:nvSpPr>
      <xdr:spPr>
        <a:xfrm>
          <a:off x="3935559" y="18360360"/>
          <a:ext cx="3577468" cy="2211406"/>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sz="1800" b="1"/>
            <a:t>              </a:t>
          </a:r>
          <a:r>
            <a:rPr lang="en-US" sz="1800" b="1">
              <a:latin typeface="Times New Roman" panose="02020603050405020304" pitchFamily="18" charset="0"/>
              <a:cs typeface="Times New Roman" panose="02020603050405020304" pitchFamily="18" charset="0"/>
            </a:rPr>
            <a:t>Consistent Rises:</a:t>
          </a:r>
        </a:p>
        <a:p>
          <a:endParaRPr lang="en-US" b="1"/>
        </a:p>
        <a:p>
          <a:pPr marL="171450" indent="-171450">
            <a:buFont typeface="Arial" panose="020B0604020202020204" pitchFamily="34" charset="0"/>
            <a:buChar char="•"/>
          </a:pPr>
          <a:r>
            <a:rPr lang="en-US" sz="1200" b="1">
              <a:latin typeface="Times New Roman" panose="02020603050405020304" pitchFamily="18" charset="0"/>
              <a:cs typeface="Times New Roman" panose="02020603050405020304" pitchFamily="18" charset="0"/>
            </a:rPr>
            <a:t>Milk increased steadily across sectors</a:t>
          </a:r>
          <a:r>
            <a:rPr lang="en-US" sz="1200">
              <a:latin typeface="Times New Roman" panose="02020603050405020304" pitchFamily="18" charset="0"/>
              <a:cs typeface="Times New Roman" panose="02020603050405020304" pitchFamily="18" charset="0"/>
            </a:rPr>
            <a:t> — around </a:t>
          </a:r>
          <a:r>
            <a:rPr lang="en-US" sz="1200" b="1">
              <a:latin typeface="Times New Roman" panose="02020603050405020304" pitchFamily="18" charset="0"/>
              <a:cs typeface="Times New Roman" panose="02020603050405020304" pitchFamily="18" charset="0"/>
            </a:rPr>
            <a:t>+8–9% (Rural), ~+8% (Urban), and +8.5% (Rural+Urban)</a:t>
          </a:r>
          <a:r>
            <a:rPr lang="en-US" sz="1200">
              <a:latin typeface="Times New Roman" panose="02020603050405020304" pitchFamily="18" charset="0"/>
              <a:cs typeface="Times New Roman" panose="02020603050405020304" pitchFamily="18" charset="0"/>
            </a:rPr>
            <a:t>, indicating sustained inflation </a:t>
          </a:r>
        </a:p>
        <a:p>
          <a:pPr marL="171450" indent="-171450">
            <a:buFont typeface="Arial" panose="020B0604020202020204" pitchFamily="34" charset="0"/>
            <a:buChar char="•"/>
          </a:pPr>
          <a:r>
            <a:rPr lang="en-US" sz="1200" b="1">
              <a:latin typeface="Times New Roman" panose="02020603050405020304" pitchFamily="18" charset="0"/>
              <a:cs typeface="Times New Roman" panose="02020603050405020304" pitchFamily="18" charset="0"/>
            </a:rPr>
            <a:t>Eggs also show consistent rise</a:t>
          </a:r>
          <a:r>
            <a:rPr lang="en-US" sz="1200">
              <a:latin typeface="Times New Roman" panose="02020603050405020304" pitchFamily="18" charset="0"/>
              <a:cs typeface="Times New Roman" panose="02020603050405020304" pitchFamily="18" charset="0"/>
            </a:rPr>
            <a:t>, with </a:t>
          </a:r>
          <a:r>
            <a:rPr lang="en-US" sz="1200" b="1">
              <a:latin typeface="Times New Roman" panose="02020603050405020304" pitchFamily="18" charset="0"/>
              <a:cs typeface="Times New Roman" panose="02020603050405020304" pitchFamily="18" charset="0"/>
            </a:rPr>
            <a:t>~+7–8% across all three sectors</a:t>
          </a:r>
          <a:r>
            <a:rPr lang="en-US" sz="1200">
              <a:latin typeface="Times New Roman" panose="02020603050405020304" pitchFamily="18" charset="0"/>
              <a:cs typeface="Times New Roman" panose="02020603050405020304" pitchFamily="18" charset="0"/>
            </a:rPr>
            <a:t>, contributing to continuous price pressure </a:t>
          </a:r>
        </a:p>
        <a:p>
          <a:pPr marL="171450" indent="-171450">
            <a:buFont typeface="Arial" panose="020B0604020202020204" pitchFamily="34" charset="0"/>
            <a:buChar char="•"/>
          </a:pPr>
          <a:r>
            <a:rPr lang="en-US" sz="1200" b="1">
              <a:latin typeface="Times New Roman" panose="02020603050405020304" pitchFamily="18" charset="0"/>
              <a:cs typeface="Times New Roman" panose="02020603050405020304" pitchFamily="18" charset="0"/>
            </a:rPr>
            <a:t>Pulses (~+6–7%) across sectors</a:t>
          </a:r>
          <a:r>
            <a:rPr lang="en-US" sz="1200">
              <a:latin typeface="Times New Roman" panose="02020603050405020304" pitchFamily="18" charset="0"/>
              <a:cs typeface="Times New Roman" panose="02020603050405020304" pitchFamily="18" charset="0"/>
            </a:rPr>
            <a:t> reflect moderate but stable upward movement</a:t>
          </a:r>
        </a:p>
        <a:p>
          <a:pPr algn="l"/>
          <a:endParaRPr lang="en-US" sz="1100"/>
        </a:p>
      </xdr:txBody>
    </xdr:sp>
    <xdr:clientData/>
  </xdr:twoCellAnchor>
  <xdr:twoCellAnchor>
    <xdr:from>
      <xdr:col>7</xdr:col>
      <xdr:colOff>640751</xdr:colOff>
      <xdr:row>103</xdr:row>
      <xdr:rowOff>17720</xdr:rowOff>
    </xdr:from>
    <xdr:to>
      <xdr:col>9</xdr:col>
      <xdr:colOff>693752</xdr:colOff>
      <xdr:row>115</xdr:row>
      <xdr:rowOff>70126</xdr:rowOff>
    </xdr:to>
    <xdr:sp macro="" textlink="">
      <xdr:nvSpPr>
        <xdr:cNvPr id="10" name="Rectangle 9">
          <a:extLst>
            <a:ext uri="{FF2B5EF4-FFF2-40B4-BE49-F238E27FC236}">
              <a16:creationId xmlns:a16="http://schemas.microsoft.com/office/drawing/2014/main" id="{DB0BBDDE-B5C2-4ECA-B583-BC56569D7271}"/>
            </a:ext>
          </a:extLst>
        </xdr:cNvPr>
        <xdr:cNvSpPr/>
      </xdr:nvSpPr>
      <xdr:spPr>
        <a:xfrm>
          <a:off x="7858584" y="18369220"/>
          <a:ext cx="3577251" cy="2211406"/>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sz="1800" b="1">
              <a:latin typeface="Times New Roman" panose="02020603050405020304" pitchFamily="18" charset="0"/>
              <a:cs typeface="Times New Roman" panose="02020603050405020304" pitchFamily="18" charset="0"/>
            </a:rPr>
            <a:t>               Falling Prices:</a:t>
          </a:r>
        </a:p>
        <a:p>
          <a:endParaRPr lang="en-US" sz="1200" b="1">
            <a:latin typeface="Times New Roman" panose="02020603050405020304" pitchFamily="18" charset="0"/>
            <a:cs typeface="Times New Roman" panose="02020603050405020304" pitchFamily="18" charset="0"/>
          </a:endParaRPr>
        </a:p>
        <a:p>
          <a:pPr marL="171450" indent="-171450">
            <a:buFont typeface="Arial" panose="020B0604020202020204" pitchFamily="34" charset="0"/>
            <a:buChar char="•"/>
          </a:pPr>
          <a:r>
            <a:rPr lang="en-US" sz="1200" b="1">
              <a:latin typeface="Times New Roman" panose="02020603050405020304" pitchFamily="18" charset="0"/>
              <a:cs typeface="Times New Roman" panose="02020603050405020304" pitchFamily="18" charset="0"/>
            </a:rPr>
            <a:t>Vegetables declined across sectors</a:t>
          </a:r>
          <a:r>
            <a:rPr lang="en-US" sz="1200">
              <a:latin typeface="Times New Roman" panose="02020603050405020304" pitchFamily="18" charset="0"/>
              <a:cs typeface="Times New Roman" panose="02020603050405020304" pitchFamily="18" charset="0"/>
            </a:rPr>
            <a:t>, with </a:t>
          </a:r>
          <a:r>
            <a:rPr lang="en-US" sz="1200" b="1">
              <a:latin typeface="Times New Roman" panose="02020603050405020304" pitchFamily="18" charset="0"/>
              <a:cs typeface="Times New Roman" panose="02020603050405020304" pitchFamily="18" charset="0"/>
            </a:rPr>
            <a:t>–7% in Rural+Urban and similar negative trend in Rural and Urban</a:t>
          </a:r>
          <a:r>
            <a:rPr lang="en-US" sz="1200">
              <a:latin typeface="Times New Roman" panose="02020603050405020304" pitchFamily="18" charset="0"/>
              <a:cs typeface="Times New Roman" panose="02020603050405020304" pitchFamily="18" charset="0"/>
            </a:rPr>
            <a:t>, helping offset inflation </a:t>
          </a:r>
        </a:p>
        <a:p>
          <a:pPr marL="171450" indent="-171450">
            <a:buFont typeface="Arial" panose="020B0604020202020204" pitchFamily="34" charset="0"/>
            <a:buChar char="•"/>
          </a:pPr>
          <a:r>
            <a:rPr lang="en-US" sz="1200" b="1">
              <a:latin typeface="Times New Roman" panose="02020603050405020304" pitchFamily="18" charset="0"/>
              <a:cs typeface="Times New Roman" panose="02020603050405020304" pitchFamily="18" charset="0"/>
            </a:rPr>
            <a:t>Meat &amp; Fish remained slightly negative (–1% in Rural+Urban)</a:t>
          </a:r>
          <a:r>
            <a:rPr lang="en-US" sz="1200">
              <a:latin typeface="Times New Roman" panose="02020603050405020304" pitchFamily="18" charset="0"/>
              <a:cs typeface="Times New Roman" panose="02020603050405020304" pitchFamily="18" charset="0"/>
            </a:rPr>
            <a:t> with minor variation across sectors </a:t>
          </a:r>
        </a:p>
        <a:p>
          <a:pPr marL="171450" indent="-171450">
            <a:buFont typeface="Arial" panose="020B0604020202020204" pitchFamily="34" charset="0"/>
            <a:buChar char="•"/>
          </a:pPr>
          <a:r>
            <a:rPr lang="en-US" sz="1200" b="1">
              <a:latin typeface="Times New Roman" panose="02020603050405020304" pitchFamily="18" charset="0"/>
              <a:cs typeface="Times New Roman" panose="02020603050405020304" pitchFamily="18" charset="0"/>
            </a:rPr>
            <a:t>Oils &amp; Fats remained consistently negative across all sectors</a:t>
          </a:r>
          <a:r>
            <a:rPr lang="en-US" sz="1200">
              <a:latin typeface="Times New Roman" panose="02020603050405020304" pitchFamily="18" charset="0"/>
              <a:cs typeface="Times New Roman" panose="02020603050405020304" pitchFamily="18" charset="0"/>
            </a:rPr>
            <a:t>, with the steepest fall in Rural (–18.9%)</a:t>
          </a:r>
        </a:p>
        <a:p>
          <a:pPr algn="l"/>
          <a:endParaRPr lang="en-US" sz="1100"/>
        </a:p>
      </xdr:txBody>
    </xdr:sp>
    <xdr:clientData/>
  </xdr:twoCellAnchor>
  <xdr:twoCellAnchor>
    <xdr:from>
      <xdr:col>10</xdr:col>
      <xdr:colOff>97394</xdr:colOff>
      <xdr:row>103</xdr:row>
      <xdr:rowOff>0</xdr:rowOff>
    </xdr:from>
    <xdr:to>
      <xdr:col>14</xdr:col>
      <xdr:colOff>235062</xdr:colOff>
      <xdr:row>115</xdr:row>
      <xdr:rowOff>52406</xdr:rowOff>
    </xdr:to>
    <xdr:sp macro="" textlink="">
      <xdr:nvSpPr>
        <xdr:cNvPr id="12" name="Rectangle 11">
          <a:extLst>
            <a:ext uri="{FF2B5EF4-FFF2-40B4-BE49-F238E27FC236}">
              <a16:creationId xmlns:a16="http://schemas.microsoft.com/office/drawing/2014/main" id="{0993E261-C880-4299-B4CE-77CAC74265A4}"/>
            </a:ext>
          </a:extLst>
        </xdr:cNvPr>
        <xdr:cNvSpPr/>
      </xdr:nvSpPr>
      <xdr:spPr>
        <a:xfrm>
          <a:off x="11781394" y="18351500"/>
          <a:ext cx="3577251" cy="2211406"/>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sz="1800" b="1">
              <a:latin typeface="Times New Roman" panose="02020603050405020304" pitchFamily="18" charset="0"/>
              <a:cs typeface="Times New Roman" panose="02020603050405020304" pitchFamily="18" charset="0"/>
            </a:rPr>
            <a:t>           </a:t>
          </a:r>
          <a:r>
            <a:rPr lang="en-US" sz="1800" b="1">
              <a:solidFill>
                <a:schemeClr val="lt1"/>
              </a:solidFill>
              <a:latin typeface="Times New Roman" panose="02020603050405020304" pitchFamily="18" charset="0"/>
              <a:ea typeface="+mn-ea"/>
              <a:cs typeface="Times New Roman" panose="02020603050405020304" pitchFamily="18" charset="0"/>
            </a:rPr>
            <a:t>Cross-Sector</a:t>
          </a:r>
          <a:r>
            <a:rPr lang="en-US" sz="1800" b="1">
              <a:latin typeface="Times New Roman" panose="02020603050405020304" pitchFamily="18" charset="0"/>
              <a:cs typeface="Times New Roman" panose="02020603050405020304" pitchFamily="18" charset="0"/>
            </a:rPr>
            <a:t> </a:t>
          </a:r>
          <a:r>
            <a:rPr lang="en-US" sz="1800" b="1">
              <a:solidFill>
                <a:schemeClr val="lt1"/>
              </a:solidFill>
              <a:latin typeface="Times New Roman" panose="02020603050405020304" pitchFamily="18" charset="0"/>
              <a:ea typeface="+mn-ea"/>
              <a:cs typeface="Times New Roman" panose="02020603050405020304" pitchFamily="18" charset="0"/>
            </a:rPr>
            <a:t>Insight</a:t>
          </a:r>
          <a:r>
            <a:rPr lang="en-US" sz="1800" b="1">
              <a:latin typeface="Times New Roman" panose="02020603050405020304" pitchFamily="18" charset="0"/>
              <a:cs typeface="Times New Roman" panose="02020603050405020304" pitchFamily="18" charset="0"/>
            </a:rPr>
            <a:t>:</a:t>
          </a:r>
        </a:p>
        <a:p>
          <a:endParaRPr lang="en-US" sz="1800" b="1">
            <a:latin typeface="Times New Roman" panose="02020603050405020304" pitchFamily="18" charset="0"/>
            <a:cs typeface="Times New Roman" panose="02020603050405020304" pitchFamily="18" charset="0"/>
          </a:endParaRPr>
        </a:p>
        <a:p>
          <a:pPr marL="171450" indent="-171450">
            <a:buFont typeface="Arial" panose="020B0604020202020204" pitchFamily="34" charset="0"/>
            <a:buChar char="•"/>
          </a:pPr>
          <a:r>
            <a:rPr lang="en-US" sz="1200" b="1"/>
            <a:t>Rural shows higher volatility (e.g., +17.21% spices vs 16.6% overall, –18.9% oils vs –17.2%)</a:t>
          </a:r>
          <a:r>
            <a:rPr lang="en-US" sz="1200"/>
            <a:t>, indicating sharper price swings. </a:t>
          </a:r>
        </a:p>
        <a:p>
          <a:pPr marL="171450" indent="-171450">
            <a:buFont typeface="Arial" panose="020B0604020202020204" pitchFamily="34" charset="0"/>
            <a:buChar char="•"/>
          </a:pPr>
          <a:r>
            <a:rPr lang="en-US" sz="1200" b="1"/>
            <a:t>Urban remains relatively moderate</a:t>
          </a:r>
          <a:r>
            <a:rPr lang="en-US" sz="1200"/>
            <a:t>, with slightly lower fluctuations across most categories</a:t>
          </a:r>
        </a:p>
        <a:p>
          <a:pPr marL="171450" indent="-171450">
            <a:buFont typeface="Arial" panose="020B0604020202020204" pitchFamily="34" charset="0"/>
            <a:buChar char="•"/>
          </a:pPr>
          <a:r>
            <a:rPr lang="en-US" sz="1200" b="1"/>
            <a:t>Rural+Urban reflects a smoothed trend</a:t>
          </a:r>
          <a:r>
            <a:rPr lang="en-US" sz="1200"/>
            <a:t>, balancing extreme movements from both sectors</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251460</xdr:colOff>
      <xdr:row>36</xdr:row>
      <xdr:rowOff>80010</xdr:rowOff>
    </xdr:from>
    <xdr:to>
      <xdr:col>6</xdr:col>
      <xdr:colOff>350520</xdr:colOff>
      <xdr:row>51</xdr:row>
      <xdr:rowOff>80010</xdr:rowOff>
    </xdr:to>
    <xdr:graphicFrame macro="">
      <xdr:nvGraphicFramePr>
        <xdr:cNvPr id="2" name="Chart 1">
          <a:extLst>
            <a:ext uri="{FF2B5EF4-FFF2-40B4-BE49-F238E27FC236}">
              <a16:creationId xmlns:a16="http://schemas.microsoft.com/office/drawing/2014/main" id="{0E0AA7D9-127F-44C7-B40F-95C86571C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556260</xdr:colOff>
      <xdr:row>36</xdr:row>
      <xdr:rowOff>80010</xdr:rowOff>
    </xdr:from>
    <xdr:to>
      <xdr:col>13</xdr:col>
      <xdr:colOff>320040</xdr:colOff>
      <xdr:row>51</xdr:row>
      <xdr:rowOff>80010</xdr:rowOff>
    </xdr:to>
    <xdr:graphicFrame macro="">
      <xdr:nvGraphicFramePr>
        <xdr:cNvPr id="3" name="Chart 2">
          <a:extLst>
            <a:ext uri="{FF2B5EF4-FFF2-40B4-BE49-F238E27FC236}">
              <a16:creationId xmlns:a16="http://schemas.microsoft.com/office/drawing/2014/main" id="{32B645CD-FB1E-4CA9-8C58-8A084D27A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472440</xdr:colOff>
      <xdr:row>36</xdr:row>
      <xdr:rowOff>41910</xdr:rowOff>
    </xdr:from>
    <xdr:to>
      <xdr:col>20</xdr:col>
      <xdr:colOff>289560</xdr:colOff>
      <xdr:row>51</xdr:row>
      <xdr:rowOff>41910</xdr:rowOff>
    </xdr:to>
    <xdr:graphicFrame macro="">
      <xdr:nvGraphicFramePr>
        <xdr:cNvPr id="4" name="Chart 3">
          <a:extLst>
            <a:ext uri="{FF2B5EF4-FFF2-40B4-BE49-F238E27FC236}">
              <a16:creationId xmlns:a16="http://schemas.microsoft.com/office/drawing/2014/main" id="{13A136F1-5CE1-41FE-B347-B4C8844DA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137160</xdr:colOff>
      <xdr:row>6</xdr:row>
      <xdr:rowOff>140970</xdr:rowOff>
    </xdr:from>
    <xdr:to>
      <xdr:col>6</xdr:col>
      <xdr:colOff>190500</xdr:colOff>
      <xdr:row>18</xdr:row>
      <xdr:rowOff>106410</xdr:rowOff>
    </xdr:to>
    <xdr:graphicFrame macro="">
      <xdr:nvGraphicFramePr>
        <xdr:cNvPr id="5" name="Chart 4">
          <a:extLst>
            <a:ext uri="{FF2B5EF4-FFF2-40B4-BE49-F238E27FC236}">
              <a16:creationId xmlns:a16="http://schemas.microsoft.com/office/drawing/2014/main" id="{2EFB60CB-7BB1-4B90-827C-559FD341B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358140</xdr:colOff>
      <xdr:row>6</xdr:row>
      <xdr:rowOff>121920</xdr:rowOff>
    </xdr:from>
    <xdr:to>
      <xdr:col>12</xdr:col>
      <xdr:colOff>419100</xdr:colOff>
      <xdr:row>18</xdr:row>
      <xdr:rowOff>87360</xdr:rowOff>
    </xdr:to>
    <xdr:graphicFrame macro="">
      <xdr:nvGraphicFramePr>
        <xdr:cNvPr id="6" name="Chart 5">
          <a:extLst>
            <a:ext uri="{FF2B5EF4-FFF2-40B4-BE49-F238E27FC236}">
              <a16:creationId xmlns:a16="http://schemas.microsoft.com/office/drawing/2014/main" id="{164D7498-9414-4131-97ED-B01A76E5A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601980</xdr:colOff>
      <xdr:row>6</xdr:row>
      <xdr:rowOff>102870</xdr:rowOff>
    </xdr:from>
    <xdr:to>
      <xdr:col>19</xdr:col>
      <xdr:colOff>129540</xdr:colOff>
      <xdr:row>18</xdr:row>
      <xdr:rowOff>68310</xdr:rowOff>
    </xdr:to>
    <xdr:graphicFrame macro="">
      <xdr:nvGraphicFramePr>
        <xdr:cNvPr id="7" name="Chart 6">
          <a:extLst>
            <a:ext uri="{FF2B5EF4-FFF2-40B4-BE49-F238E27FC236}">
              <a16:creationId xmlns:a16="http://schemas.microsoft.com/office/drawing/2014/main" id="{579EED2E-9C83-4841-ADDB-AF4FB58B5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381000</xdr:colOff>
      <xdr:row>18</xdr:row>
      <xdr:rowOff>144780</xdr:rowOff>
    </xdr:from>
    <xdr:to>
      <xdr:col>15</xdr:col>
      <xdr:colOff>449580</xdr:colOff>
      <xdr:row>24</xdr:row>
      <xdr:rowOff>30480</xdr:rowOff>
    </xdr:to>
    <xdr:sp macro="" textlink="">
      <xdr:nvSpPr>
        <xdr:cNvPr id="8" name="Rectangle: Rounded Corners 7">
          <a:extLst>
            <a:ext uri="{FF2B5EF4-FFF2-40B4-BE49-F238E27FC236}">
              <a16:creationId xmlns:a16="http://schemas.microsoft.com/office/drawing/2014/main" id="{67F4D8B7-5694-6AC1-C56C-B10A11029215}"/>
            </a:ext>
          </a:extLst>
        </xdr:cNvPr>
        <xdr:cNvSpPr/>
      </xdr:nvSpPr>
      <xdr:spPr>
        <a:xfrm>
          <a:off x="381000" y="3436620"/>
          <a:ext cx="9700260" cy="98298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b="1"/>
            <a:t>The onset of COVID-19 led to a structural shift in inflation patterns across Rural, Urban, and combined CPI, where food inflation spiked sharply due to supply chain disruptions, while healthcare and essential services initially saw a dip during lockdowns due to reduced consumption. As the economy reopened, demand recovery and rising healthcare costs drove a sustained increase in inflation, indicating a clear transition from supply-shock-driven inflation during COVID to demand- and cost-push inflation in the post-COVID period.</a:t>
          </a:r>
          <a:endParaRPr lang="en-US" sz="1100" b="1"/>
        </a:p>
      </xdr:txBody>
    </xdr:sp>
    <xdr:clientData/>
  </xdr:twoCellAnchor>
  <xdr:twoCellAnchor>
    <xdr:from>
      <xdr:col>1</xdr:col>
      <xdr:colOff>365760</xdr:colOff>
      <xdr:row>53</xdr:row>
      <xdr:rowOff>114300</xdr:rowOff>
    </xdr:from>
    <xdr:to>
      <xdr:col>5</xdr:col>
      <xdr:colOff>624840</xdr:colOff>
      <xdr:row>60</xdr:row>
      <xdr:rowOff>167640</xdr:rowOff>
    </xdr:to>
    <xdr:sp macro="" textlink="">
      <xdr:nvSpPr>
        <xdr:cNvPr id="9" name="Rectangle: Rounded Corners 8">
          <a:extLst>
            <a:ext uri="{FF2B5EF4-FFF2-40B4-BE49-F238E27FC236}">
              <a16:creationId xmlns:a16="http://schemas.microsoft.com/office/drawing/2014/main" id="{5A567DDA-B7DF-2E92-B6C1-05AC88E613C4}"/>
            </a:ext>
          </a:extLst>
        </xdr:cNvPr>
        <xdr:cNvSpPr/>
      </xdr:nvSpPr>
      <xdr:spPr>
        <a:xfrm>
          <a:off x="975360" y="9258300"/>
          <a:ext cx="2735580" cy="133350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b="1"/>
            <a:t>Food Inflation Spike (Immediate Impact)</a:t>
          </a:r>
          <a:endParaRPr lang="en-US"/>
        </a:p>
        <a:p>
          <a:r>
            <a:rPr lang="en-US"/>
            <a:t>Rural: </a:t>
          </a:r>
          <a:r>
            <a:rPr lang="en-US" b="1"/>
            <a:t>1% → 7%</a:t>
          </a:r>
          <a:r>
            <a:rPr lang="en-US"/>
            <a:t> </a:t>
          </a:r>
        </a:p>
        <a:p>
          <a:r>
            <a:rPr lang="en-US"/>
            <a:t>Urban: </a:t>
          </a:r>
          <a:r>
            <a:rPr lang="en-US" b="1"/>
            <a:t>2% → 7%</a:t>
          </a:r>
          <a:r>
            <a:rPr lang="en-US"/>
            <a:t> </a:t>
          </a:r>
        </a:p>
        <a:p>
          <a:r>
            <a:rPr lang="en-US"/>
            <a:t>Rural+Urban: </a:t>
          </a:r>
          <a:r>
            <a:rPr lang="en-US" b="1"/>
            <a:t>2% → 7%</a:t>
          </a:r>
          <a:br>
            <a:rPr lang="en-US"/>
          </a:br>
          <a:r>
            <a:rPr lang="en-US"/>
            <a:t> Clear </a:t>
          </a:r>
          <a:r>
            <a:rPr lang="en-US" b="1"/>
            <a:t>supply shock impact during lockdown (Mar 2020)</a:t>
          </a:r>
          <a:endParaRPr lang="en-US"/>
        </a:p>
        <a:p>
          <a:pPr algn="l"/>
          <a:endParaRPr lang="en-US" sz="1100"/>
        </a:p>
      </xdr:txBody>
    </xdr:sp>
    <xdr:clientData/>
  </xdr:twoCellAnchor>
  <xdr:twoCellAnchor>
    <xdr:from>
      <xdr:col>7</xdr:col>
      <xdr:colOff>7620</xdr:colOff>
      <xdr:row>53</xdr:row>
      <xdr:rowOff>121920</xdr:rowOff>
    </xdr:from>
    <xdr:to>
      <xdr:col>11</xdr:col>
      <xdr:colOff>266700</xdr:colOff>
      <xdr:row>60</xdr:row>
      <xdr:rowOff>175260</xdr:rowOff>
    </xdr:to>
    <xdr:sp macro="" textlink="">
      <xdr:nvSpPr>
        <xdr:cNvPr id="10" name="Rectangle: Rounded Corners 9">
          <a:extLst>
            <a:ext uri="{FF2B5EF4-FFF2-40B4-BE49-F238E27FC236}">
              <a16:creationId xmlns:a16="http://schemas.microsoft.com/office/drawing/2014/main" id="{6A4C4823-DF64-4494-9EE4-47401C1BE4CC}"/>
            </a:ext>
          </a:extLst>
        </xdr:cNvPr>
        <xdr:cNvSpPr/>
      </xdr:nvSpPr>
      <xdr:spPr>
        <a:xfrm>
          <a:off x="4518660" y="9265920"/>
          <a:ext cx="2735580" cy="133350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b="1"/>
            <a:t>Health Inflation Trend (Lagged Impact)</a:t>
          </a:r>
          <a:endParaRPr lang="en-US"/>
        </a:p>
        <a:p>
          <a:r>
            <a:rPr lang="en-US"/>
            <a:t>Rural: </a:t>
          </a:r>
          <a:r>
            <a:rPr lang="en-US" b="1"/>
            <a:t>7% → 4% (Covid) → 6% (Post)</a:t>
          </a:r>
          <a:r>
            <a:rPr lang="en-US"/>
            <a:t> </a:t>
          </a:r>
        </a:p>
        <a:p>
          <a:r>
            <a:rPr lang="en-US"/>
            <a:t>Urban: </a:t>
          </a:r>
          <a:r>
            <a:rPr lang="en-US" b="1"/>
            <a:t>6% → 4% → 8%</a:t>
          </a:r>
          <a:r>
            <a:rPr lang="en-US"/>
            <a:t> </a:t>
          </a:r>
        </a:p>
        <a:p>
          <a:r>
            <a:rPr lang="en-US"/>
            <a:t>Combined: </a:t>
          </a:r>
          <a:r>
            <a:rPr lang="en-US" b="1"/>
            <a:t>7% → 4% → 7%</a:t>
          </a:r>
          <a:br>
            <a:rPr lang="en-US"/>
          </a:br>
          <a:r>
            <a:rPr lang="en-US"/>
            <a:t> Healthcare inflation </a:t>
          </a:r>
          <a:r>
            <a:rPr lang="en-US" b="1"/>
            <a:t>spikes post-COVID</a:t>
          </a:r>
          <a:r>
            <a:rPr lang="en-US"/>
            <a:t>, not during peak lockdown</a:t>
          </a:r>
        </a:p>
      </xdr:txBody>
    </xdr:sp>
    <xdr:clientData/>
  </xdr:twoCellAnchor>
  <xdr:twoCellAnchor>
    <xdr:from>
      <xdr:col>12</xdr:col>
      <xdr:colOff>464820</xdr:colOff>
      <xdr:row>53</xdr:row>
      <xdr:rowOff>76200</xdr:rowOff>
    </xdr:from>
    <xdr:to>
      <xdr:col>17</xdr:col>
      <xdr:colOff>114300</xdr:colOff>
      <xdr:row>60</xdr:row>
      <xdr:rowOff>129540</xdr:rowOff>
    </xdr:to>
    <xdr:sp macro="" textlink="">
      <xdr:nvSpPr>
        <xdr:cNvPr id="11" name="Rectangle: Rounded Corners 10">
          <a:extLst>
            <a:ext uri="{FF2B5EF4-FFF2-40B4-BE49-F238E27FC236}">
              <a16:creationId xmlns:a16="http://schemas.microsoft.com/office/drawing/2014/main" id="{26C1DC4A-B42B-4565-BA47-11243BB2E878}"/>
            </a:ext>
          </a:extLst>
        </xdr:cNvPr>
        <xdr:cNvSpPr/>
      </xdr:nvSpPr>
      <xdr:spPr>
        <a:xfrm>
          <a:off x="8267700" y="9220200"/>
          <a:ext cx="2735580" cy="133350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b="1"/>
            <a:t>Essential Services Stabilization</a:t>
          </a:r>
          <a:endParaRPr lang="en-US"/>
        </a:p>
        <a:p>
          <a:r>
            <a:rPr lang="en-US"/>
            <a:t>Rural: </a:t>
          </a:r>
          <a:r>
            <a:rPr lang="en-US" b="1"/>
            <a:t>5% → 3% → 6%</a:t>
          </a:r>
          <a:r>
            <a:rPr lang="en-US"/>
            <a:t> </a:t>
          </a:r>
        </a:p>
        <a:p>
          <a:r>
            <a:rPr lang="en-US"/>
            <a:t>Urban: </a:t>
          </a:r>
          <a:r>
            <a:rPr lang="en-US" b="1"/>
            <a:t>4% → 4% → 7%</a:t>
          </a:r>
          <a:br>
            <a:rPr lang="en-US"/>
          </a:br>
          <a:r>
            <a:rPr lang="en-US"/>
            <a:t> Initial drop due to reduced demand, then recovery</a:t>
          </a:r>
        </a:p>
      </xdr:txBody>
    </xdr:sp>
    <xdr:clientData/>
  </xdr:twoCellAnchor>
  <xdr:twoCellAnchor>
    <xdr:from>
      <xdr:col>4</xdr:col>
      <xdr:colOff>358140</xdr:colOff>
      <xdr:row>51</xdr:row>
      <xdr:rowOff>167640</xdr:rowOff>
    </xdr:from>
    <xdr:to>
      <xdr:col>13</xdr:col>
      <xdr:colOff>76200</xdr:colOff>
      <xdr:row>53</xdr:row>
      <xdr:rowOff>38100</xdr:rowOff>
    </xdr:to>
    <xdr:sp macro="" textlink="">
      <xdr:nvSpPr>
        <xdr:cNvPr id="12" name="Rectangle 11">
          <a:extLst>
            <a:ext uri="{FF2B5EF4-FFF2-40B4-BE49-F238E27FC236}">
              <a16:creationId xmlns:a16="http://schemas.microsoft.com/office/drawing/2014/main" id="{95EF2D31-56E6-267D-5318-4553032C8199}"/>
            </a:ext>
          </a:extLst>
        </xdr:cNvPr>
        <xdr:cNvSpPr/>
      </xdr:nvSpPr>
      <xdr:spPr>
        <a:xfrm>
          <a:off x="2796540" y="8945880"/>
          <a:ext cx="5692140" cy="2362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Pre vs Post COVID Impact</a:t>
          </a:r>
        </a:p>
      </xdr:txBody>
    </xdr:sp>
    <xdr:clientData/>
  </xdr:twoCellAnchor>
  <xdr:twoCellAnchor>
    <xdr:from>
      <xdr:col>1</xdr:col>
      <xdr:colOff>358140</xdr:colOff>
      <xdr:row>64</xdr:row>
      <xdr:rowOff>68580</xdr:rowOff>
    </xdr:from>
    <xdr:to>
      <xdr:col>5</xdr:col>
      <xdr:colOff>617220</xdr:colOff>
      <xdr:row>71</xdr:row>
      <xdr:rowOff>121920</xdr:rowOff>
    </xdr:to>
    <xdr:sp macro="" textlink="">
      <xdr:nvSpPr>
        <xdr:cNvPr id="17" name="Rectangle: Rounded Corners 16">
          <a:extLst>
            <a:ext uri="{FF2B5EF4-FFF2-40B4-BE49-F238E27FC236}">
              <a16:creationId xmlns:a16="http://schemas.microsoft.com/office/drawing/2014/main" id="{200A9616-39C8-45AB-AC22-6DB8DFED6565}"/>
            </a:ext>
          </a:extLst>
        </xdr:cNvPr>
        <xdr:cNvSpPr/>
      </xdr:nvSpPr>
      <xdr:spPr>
        <a:xfrm>
          <a:off x="967740" y="11224260"/>
          <a:ext cx="2735580" cy="133350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b="1"/>
            <a:t>Pre-COVID Stability (2018–2019)</a:t>
          </a:r>
          <a:endParaRPr lang="en-US"/>
        </a:p>
        <a:p>
          <a:r>
            <a:rPr lang="en-US"/>
            <a:t>Food inflation low: </a:t>
          </a:r>
          <a:r>
            <a:rPr lang="en-US" b="1"/>
            <a:t>1%–3% range</a:t>
          </a:r>
          <a:r>
            <a:rPr lang="en-US"/>
            <a:t> </a:t>
          </a:r>
        </a:p>
        <a:p>
          <a:r>
            <a:rPr lang="en-US"/>
            <a:t>Health high but stable: </a:t>
          </a:r>
          <a:r>
            <a:rPr lang="en-US" b="1"/>
            <a:t>6%–10%</a:t>
          </a:r>
          <a:endParaRPr lang="en-US"/>
        </a:p>
      </xdr:txBody>
    </xdr:sp>
    <xdr:clientData/>
  </xdr:twoCellAnchor>
  <xdr:twoCellAnchor>
    <xdr:from>
      <xdr:col>7</xdr:col>
      <xdr:colOff>0</xdr:colOff>
      <xdr:row>64</xdr:row>
      <xdr:rowOff>76200</xdr:rowOff>
    </xdr:from>
    <xdr:to>
      <xdr:col>11</xdr:col>
      <xdr:colOff>259080</xdr:colOff>
      <xdr:row>71</xdr:row>
      <xdr:rowOff>129540</xdr:rowOff>
    </xdr:to>
    <xdr:sp macro="" textlink="">
      <xdr:nvSpPr>
        <xdr:cNvPr id="18" name="Rectangle: Rounded Corners 17">
          <a:extLst>
            <a:ext uri="{FF2B5EF4-FFF2-40B4-BE49-F238E27FC236}">
              <a16:creationId xmlns:a16="http://schemas.microsoft.com/office/drawing/2014/main" id="{13411571-5C01-475C-AFC2-573EB29B7809}"/>
            </a:ext>
          </a:extLst>
        </xdr:cNvPr>
        <xdr:cNvSpPr/>
      </xdr:nvSpPr>
      <xdr:spPr>
        <a:xfrm>
          <a:off x="4511040" y="11231880"/>
          <a:ext cx="2735580" cy="133350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b="1"/>
            <a:t>COVID Shock Year (2020)</a:t>
          </a:r>
          <a:endParaRPr lang="en-US"/>
        </a:p>
        <a:p>
          <a:r>
            <a:rPr lang="en-US"/>
            <a:t>Food jumps to </a:t>
          </a:r>
          <a:r>
            <a:rPr lang="en-US" b="1"/>
            <a:t>~7% across all sectors</a:t>
          </a:r>
          <a:r>
            <a:rPr lang="en-US"/>
            <a:t> </a:t>
          </a:r>
        </a:p>
        <a:p>
          <a:r>
            <a:rPr lang="en-US"/>
            <a:t>Health drops to </a:t>
          </a:r>
          <a:r>
            <a:rPr lang="en-US" b="1"/>
            <a:t>~4%</a:t>
          </a:r>
          <a:br>
            <a:rPr lang="en-US"/>
          </a:br>
          <a:r>
            <a:rPr lang="en-US"/>
            <a:t> Supply disruption hits food more than services</a:t>
          </a:r>
        </a:p>
      </xdr:txBody>
    </xdr:sp>
    <xdr:clientData/>
  </xdr:twoCellAnchor>
  <xdr:twoCellAnchor>
    <xdr:from>
      <xdr:col>12</xdr:col>
      <xdr:colOff>457200</xdr:colOff>
      <xdr:row>64</xdr:row>
      <xdr:rowOff>30480</xdr:rowOff>
    </xdr:from>
    <xdr:to>
      <xdr:col>17</xdr:col>
      <xdr:colOff>106680</xdr:colOff>
      <xdr:row>71</xdr:row>
      <xdr:rowOff>83820</xdr:rowOff>
    </xdr:to>
    <xdr:sp macro="" textlink="">
      <xdr:nvSpPr>
        <xdr:cNvPr id="19" name="Rectangle: Rounded Corners 18">
          <a:extLst>
            <a:ext uri="{FF2B5EF4-FFF2-40B4-BE49-F238E27FC236}">
              <a16:creationId xmlns:a16="http://schemas.microsoft.com/office/drawing/2014/main" id="{909475F4-39F2-41C2-8165-65F5342CD241}"/>
            </a:ext>
          </a:extLst>
        </xdr:cNvPr>
        <xdr:cNvSpPr/>
      </xdr:nvSpPr>
      <xdr:spPr>
        <a:xfrm>
          <a:off x="8260080" y="11186160"/>
          <a:ext cx="2735580" cy="133350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b="1"/>
            <a:t>Post-COVID Recovery (2021–2022)</a:t>
          </a:r>
          <a:endParaRPr lang="en-US"/>
        </a:p>
        <a:p>
          <a:r>
            <a:rPr lang="en-US"/>
            <a:t>Food remains elevated: </a:t>
          </a:r>
          <a:r>
            <a:rPr lang="en-US" b="1"/>
            <a:t>7%–9%</a:t>
          </a:r>
          <a:r>
            <a:rPr lang="en-US"/>
            <a:t> </a:t>
          </a:r>
        </a:p>
        <a:p>
          <a:r>
            <a:rPr lang="en-US"/>
            <a:t>Health rebounds strongly: </a:t>
          </a:r>
          <a:r>
            <a:rPr lang="en-US" b="1"/>
            <a:t>5%–8%</a:t>
          </a:r>
          <a:br>
            <a:rPr lang="en-US"/>
          </a:br>
          <a:r>
            <a:rPr lang="en-US"/>
            <a:t> Indicates </a:t>
          </a:r>
          <a:r>
            <a:rPr lang="en-US" b="1"/>
            <a:t>persistent inflation pressure</a:t>
          </a:r>
          <a:endParaRPr lang="en-US"/>
        </a:p>
      </xdr:txBody>
    </xdr:sp>
    <xdr:clientData/>
  </xdr:twoCellAnchor>
  <xdr:twoCellAnchor>
    <xdr:from>
      <xdr:col>4</xdr:col>
      <xdr:colOff>327660</xdr:colOff>
      <xdr:row>62</xdr:row>
      <xdr:rowOff>60960</xdr:rowOff>
    </xdr:from>
    <xdr:to>
      <xdr:col>13</xdr:col>
      <xdr:colOff>45720</xdr:colOff>
      <xdr:row>63</xdr:row>
      <xdr:rowOff>114300</xdr:rowOff>
    </xdr:to>
    <xdr:sp macro="" textlink="">
      <xdr:nvSpPr>
        <xdr:cNvPr id="20" name="Rectangle 19">
          <a:extLst>
            <a:ext uri="{FF2B5EF4-FFF2-40B4-BE49-F238E27FC236}">
              <a16:creationId xmlns:a16="http://schemas.microsoft.com/office/drawing/2014/main" id="{B5C73144-2D16-4C2D-A2D8-4BD563024614}"/>
            </a:ext>
          </a:extLst>
        </xdr:cNvPr>
        <xdr:cNvSpPr/>
      </xdr:nvSpPr>
      <xdr:spPr>
        <a:xfrm>
          <a:off x="2766060" y="10850880"/>
          <a:ext cx="5692140" cy="2362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Year-wise Trend Insight (2018–2022)</a:t>
          </a:r>
        </a:p>
      </xdr:txBody>
    </xdr:sp>
    <xdr:clientData/>
  </xdr:twoCellAnchor>
  <xdr:twoCellAnchor>
    <xdr:from>
      <xdr:col>1</xdr:col>
      <xdr:colOff>396240</xdr:colOff>
      <xdr:row>75</xdr:row>
      <xdr:rowOff>45720</xdr:rowOff>
    </xdr:from>
    <xdr:to>
      <xdr:col>5</xdr:col>
      <xdr:colOff>655320</xdr:colOff>
      <xdr:row>82</xdr:row>
      <xdr:rowOff>99060</xdr:rowOff>
    </xdr:to>
    <xdr:sp macro="" textlink="">
      <xdr:nvSpPr>
        <xdr:cNvPr id="21" name="Rectangle: Rounded Corners 20">
          <a:extLst>
            <a:ext uri="{FF2B5EF4-FFF2-40B4-BE49-F238E27FC236}">
              <a16:creationId xmlns:a16="http://schemas.microsoft.com/office/drawing/2014/main" id="{DB7E4846-2F91-444D-AE53-BB787B22AB8B}"/>
            </a:ext>
          </a:extLst>
        </xdr:cNvPr>
        <xdr:cNvSpPr/>
      </xdr:nvSpPr>
      <xdr:spPr>
        <a:xfrm>
          <a:off x="1005840" y="13213080"/>
          <a:ext cx="2735580" cy="133350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b="1"/>
            <a:t>                               Rural</a:t>
          </a:r>
          <a:endParaRPr lang="en-US"/>
        </a:p>
        <a:p>
          <a:r>
            <a:rPr lang="en-US"/>
            <a:t>Strong food inflation impact: </a:t>
          </a:r>
          <a:r>
            <a:rPr lang="en-US" b="1"/>
            <a:t>1% → 7% → 7%</a:t>
          </a:r>
          <a:r>
            <a:rPr lang="en-US"/>
            <a:t> </a:t>
          </a:r>
        </a:p>
        <a:p>
          <a:r>
            <a:rPr lang="en-US"/>
            <a:t>More volatility in essentials</a:t>
          </a:r>
          <a:br>
            <a:rPr lang="en-US"/>
          </a:br>
          <a:r>
            <a:rPr lang="en-US"/>
            <a:t> More sensitive to supply disruptions</a:t>
          </a:r>
        </a:p>
      </xdr:txBody>
    </xdr:sp>
    <xdr:clientData/>
  </xdr:twoCellAnchor>
  <xdr:twoCellAnchor>
    <xdr:from>
      <xdr:col>7</xdr:col>
      <xdr:colOff>38100</xdr:colOff>
      <xdr:row>75</xdr:row>
      <xdr:rowOff>53340</xdr:rowOff>
    </xdr:from>
    <xdr:to>
      <xdr:col>11</xdr:col>
      <xdr:colOff>297180</xdr:colOff>
      <xdr:row>82</xdr:row>
      <xdr:rowOff>106680</xdr:rowOff>
    </xdr:to>
    <xdr:sp macro="" textlink="">
      <xdr:nvSpPr>
        <xdr:cNvPr id="22" name="Rectangle: Rounded Corners 21">
          <a:extLst>
            <a:ext uri="{FF2B5EF4-FFF2-40B4-BE49-F238E27FC236}">
              <a16:creationId xmlns:a16="http://schemas.microsoft.com/office/drawing/2014/main" id="{73022CB7-2B2D-479D-8FDB-B5D1F0400DA8}"/>
            </a:ext>
          </a:extLst>
        </xdr:cNvPr>
        <xdr:cNvSpPr/>
      </xdr:nvSpPr>
      <xdr:spPr>
        <a:xfrm>
          <a:off x="4549140" y="13220700"/>
          <a:ext cx="2735580" cy="133350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b="1"/>
            <a:t>                              Urban</a:t>
          </a:r>
          <a:endParaRPr lang="en-US"/>
        </a:p>
        <a:p>
          <a:r>
            <a:rPr lang="en-US"/>
            <a:t>Health inflation highest post-COVID: </a:t>
          </a:r>
          <a:r>
            <a:rPr lang="en-US" b="1"/>
            <a:t>8%</a:t>
          </a:r>
          <a:br>
            <a:rPr lang="en-US"/>
          </a:br>
          <a:r>
            <a:rPr lang="en-US"/>
            <a:t> Service-driven inflation dominates</a:t>
          </a:r>
        </a:p>
      </xdr:txBody>
    </xdr:sp>
    <xdr:clientData/>
  </xdr:twoCellAnchor>
  <xdr:twoCellAnchor>
    <xdr:from>
      <xdr:col>12</xdr:col>
      <xdr:colOff>495300</xdr:colOff>
      <xdr:row>75</xdr:row>
      <xdr:rowOff>7620</xdr:rowOff>
    </xdr:from>
    <xdr:to>
      <xdr:col>17</xdr:col>
      <xdr:colOff>144780</xdr:colOff>
      <xdr:row>82</xdr:row>
      <xdr:rowOff>60960</xdr:rowOff>
    </xdr:to>
    <xdr:sp macro="" textlink="">
      <xdr:nvSpPr>
        <xdr:cNvPr id="23" name="Rectangle: Rounded Corners 22">
          <a:extLst>
            <a:ext uri="{FF2B5EF4-FFF2-40B4-BE49-F238E27FC236}">
              <a16:creationId xmlns:a16="http://schemas.microsoft.com/office/drawing/2014/main" id="{16830A4A-A1F6-4A8A-9656-23693A99A210}"/>
            </a:ext>
          </a:extLst>
        </xdr:cNvPr>
        <xdr:cNvSpPr/>
      </xdr:nvSpPr>
      <xdr:spPr>
        <a:xfrm>
          <a:off x="8298180" y="13174980"/>
          <a:ext cx="2735580" cy="133350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b="1"/>
            <a:t>                         Rural + Urban</a:t>
          </a:r>
          <a:endParaRPr lang="en-US"/>
        </a:p>
        <a:p>
          <a:r>
            <a:rPr lang="en-US"/>
            <a:t>Smooth, balanced trend</a:t>
          </a:r>
          <a:br>
            <a:rPr lang="en-US"/>
          </a:br>
          <a:r>
            <a:rPr lang="en-US"/>
            <a:t> Reflects </a:t>
          </a:r>
          <a:r>
            <a:rPr lang="en-US" b="1"/>
            <a:t>overall macro inflation behavior</a:t>
          </a:r>
          <a:endParaRPr lang="en-US"/>
        </a:p>
      </xdr:txBody>
    </xdr:sp>
    <xdr:clientData/>
  </xdr:twoCellAnchor>
  <xdr:twoCellAnchor>
    <xdr:from>
      <xdr:col>4</xdr:col>
      <xdr:colOff>388620</xdr:colOff>
      <xdr:row>73</xdr:row>
      <xdr:rowOff>99060</xdr:rowOff>
    </xdr:from>
    <xdr:to>
      <xdr:col>13</xdr:col>
      <xdr:colOff>106680</xdr:colOff>
      <xdr:row>74</xdr:row>
      <xdr:rowOff>152400</xdr:rowOff>
    </xdr:to>
    <xdr:sp macro="" textlink="">
      <xdr:nvSpPr>
        <xdr:cNvPr id="24" name="Rectangle 23">
          <a:extLst>
            <a:ext uri="{FF2B5EF4-FFF2-40B4-BE49-F238E27FC236}">
              <a16:creationId xmlns:a16="http://schemas.microsoft.com/office/drawing/2014/main" id="{FAE811A2-991B-434C-86F5-8E7DD4A092F8}"/>
            </a:ext>
          </a:extLst>
        </xdr:cNvPr>
        <xdr:cNvSpPr/>
      </xdr:nvSpPr>
      <xdr:spPr>
        <a:xfrm>
          <a:off x="2827020" y="12900660"/>
          <a:ext cx="5692140" cy="2362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Sector Comparison Insight</a:t>
          </a:r>
        </a:p>
      </xdr:txBody>
    </xdr:sp>
    <xdr:clientData/>
  </xdr:twoCellAnchor>
  <xdr:twoCellAnchor>
    <xdr:from>
      <xdr:col>1</xdr:col>
      <xdr:colOff>502920</xdr:colOff>
      <xdr:row>85</xdr:row>
      <xdr:rowOff>175260</xdr:rowOff>
    </xdr:from>
    <xdr:to>
      <xdr:col>10</xdr:col>
      <xdr:colOff>38100</xdr:colOff>
      <xdr:row>95</xdr:row>
      <xdr:rowOff>152400</xdr:rowOff>
    </xdr:to>
    <xdr:sp macro="" textlink="">
      <xdr:nvSpPr>
        <xdr:cNvPr id="25" name="Rectangle 24">
          <a:extLst>
            <a:ext uri="{FF2B5EF4-FFF2-40B4-BE49-F238E27FC236}">
              <a16:creationId xmlns:a16="http://schemas.microsoft.com/office/drawing/2014/main" id="{E5FA6A44-8683-04EE-0317-1FFE4C2E78C5}"/>
            </a:ext>
          </a:extLst>
        </xdr:cNvPr>
        <xdr:cNvSpPr/>
      </xdr:nvSpPr>
      <xdr:spPr>
        <a:xfrm>
          <a:off x="1112520" y="15171420"/>
          <a:ext cx="5265420" cy="18059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171450" indent="-171450" algn="l">
            <a:buFont typeface="Arial" panose="020B0604020202020204" pitchFamily="34" charset="0"/>
            <a:buChar char="•"/>
          </a:pPr>
          <a:r>
            <a:rPr lang="en-US"/>
            <a:t>Food inflation surged during COVID across all sectors (</a:t>
          </a:r>
          <a:r>
            <a:rPr lang="en-US" b="1"/>
            <a:t>2% → 7%</a:t>
          </a:r>
          <a:r>
            <a:rPr lang="en-US"/>
            <a:t>), confirming supply-side disruption. </a:t>
          </a:r>
        </a:p>
        <a:p>
          <a:pPr marL="171450" indent="-171450" algn="l">
            <a:buFont typeface="Arial" panose="020B0604020202020204" pitchFamily="34" charset="0"/>
            <a:buChar char="•"/>
          </a:pPr>
          <a:r>
            <a:rPr lang="en-US"/>
            <a:t>Healthcare inflation showed a </a:t>
          </a:r>
          <a:r>
            <a:rPr lang="en-US" b="1"/>
            <a:t>delayed spike post-COVID</a:t>
          </a:r>
          <a:r>
            <a:rPr lang="en-US"/>
            <a:t>, especially in urban areas (</a:t>
          </a:r>
          <a:r>
            <a:rPr lang="en-US" b="1"/>
            <a:t>up to 8%</a:t>
          </a:r>
          <a:r>
            <a:rPr lang="en-US"/>
            <a:t>). </a:t>
          </a:r>
        </a:p>
        <a:p>
          <a:pPr marL="171450" indent="-171450" algn="l">
            <a:buFont typeface="Arial" panose="020B0604020202020204" pitchFamily="34" charset="0"/>
            <a:buChar char="•"/>
          </a:pPr>
          <a:r>
            <a:rPr lang="en-US"/>
            <a:t>Essential services experienced a </a:t>
          </a:r>
          <a:r>
            <a:rPr lang="en-US" b="1"/>
            <a:t>temporary dip during lockdown</a:t>
          </a:r>
          <a:r>
            <a:rPr lang="en-US"/>
            <a:t> followed by recovery. </a:t>
          </a:r>
        </a:p>
        <a:p>
          <a:pPr marL="171450" indent="-171450" algn="l">
            <a:buFont typeface="Arial" panose="020B0604020202020204" pitchFamily="34" charset="0"/>
            <a:buChar char="•"/>
          </a:pPr>
          <a:r>
            <a:rPr lang="en-US"/>
            <a:t>Rural inflation is more </a:t>
          </a:r>
          <a:r>
            <a:rPr lang="en-US" b="1"/>
            <a:t>volatile and supply-driven</a:t>
          </a:r>
          <a:r>
            <a:rPr lang="en-US"/>
            <a:t>, while urban inflation is more </a:t>
          </a:r>
          <a:r>
            <a:rPr lang="en-US" b="1"/>
            <a:t>service-driven</a:t>
          </a:r>
          <a:r>
            <a:rPr lang="en-US"/>
            <a:t>. </a:t>
          </a:r>
        </a:p>
        <a:p>
          <a:pPr marL="171450" indent="-171450" algn="l">
            <a:buFont typeface="Arial" panose="020B0604020202020204" pitchFamily="34" charset="0"/>
            <a:buChar char="•"/>
          </a:pPr>
          <a:r>
            <a:rPr lang="en-US"/>
            <a:t>Inflation pattern shifted from </a:t>
          </a:r>
          <a:r>
            <a:rPr lang="en-US" b="1"/>
            <a:t>shock-driven (2020)</a:t>
          </a:r>
          <a:r>
            <a:rPr lang="en-US"/>
            <a:t> to </a:t>
          </a:r>
          <a:r>
            <a:rPr lang="en-US" b="1"/>
            <a:t>sustained inflation (2021–2022)</a:t>
          </a:r>
          <a:r>
            <a:rPr lang="en-US"/>
            <a:t>.</a:t>
          </a:r>
          <a:endParaRPr lang="en-US" sz="1100"/>
        </a:p>
      </xdr:txBody>
    </xdr:sp>
    <xdr:clientData/>
  </xdr:twoCellAnchor>
  <xdr:twoCellAnchor>
    <xdr:from>
      <xdr:col>10</xdr:col>
      <xdr:colOff>457200</xdr:colOff>
      <xdr:row>86</xdr:row>
      <xdr:rowOff>7620</xdr:rowOff>
    </xdr:from>
    <xdr:to>
      <xdr:col>18</xdr:col>
      <xdr:colOff>358140</xdr:colOff>
      <xdr:row>98</xdr:row>
      <xdr:rowOff>0</xdr:rowOff>
    </xdr:to>
    <xdr:sp macro="" textlink="">
      <xdr:nvSpPr>
        <xdr:cNvPr id="26" name="Rectangle 25">
          <a:extLst>
            <a:ext uri="{FF2B5EF4-FFF2-40B4-BE49-F238E27FC236}">
              <a16:creationId xmlns:a16="http://schemas.microsoft.com/office/drawing/2014/main" id="{22CEA24F-8001-48CE-A982-1E518266CCBC}"/>
            </a:ext>
          </a:extLst>
        </xdr:cNvPr>
        <xdr:cNvSpPr/>
      </xdr:nvSpPr>
      <xdr:spPr>
        <a:xfrm>
          <a:off x="6797040" y="15186660"/>
          <a:ext cx="5265420" cy="21869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171450" indent="-171450">
            <a:buFont typeface="Arial" panose="020B0604020202020204" pitchFamily="34" charset="0"/>
            <a:buChar char="•"/>
          </a:pPr>
          <a:r>
            <a:rPr lang="en-US" b="1"/>
            <a:t>COVID triggered supply-side shocks</a:t>
          </a:r>
          <a:r>
            <a:rPr lang="en-US"/>
            <a:t>, leading to a sharp rise in food inflation due to disrupted logistics and restricted movement. </a:t>
          </a:r>
        </a:p>
        <a:p>
          <a:pPr marL="171450" indent="-171450">
            <a:buFont typeface="Arial" panose="020B0604020202020204" pitchFamily="34" charset="0"/>
            <a:buChar char="•"/>
          </a:pPr>
          <a:r>
            <a:rPr lang="en-US" b="1"/>
            <a:t>Lockdowns suppressed service demand</a:t>
          </a:r>
          <a:r>
            <a:rPr lang="en-US"/>
            <a:t>, causing a temporary dip in healthcare and essential services inflation. </a:t>
          </a:r>
        </a:p>
        <a:p>
          <a:pPr marL="171450" indent="-171450">
            <a:buFont typeface="Arial" panose="020B0604020202020204" pitchFamily="34" charset="0"/>
            <a:buChar char="•"/>
          </a:pPr>
          <a:r>
            <a:rPr lang="en-US" b="1"/>
            <a:t>Post-COVID demand recovery led to cost-push inflation</a:t>
          </a:r>
          <a:r>
            <a:rPr lang="en-US"/>
            <a:t>, especially in healthcare and essential services. </a:t>
          </a:r>
        </a:p>
        <a:p>
          <a:pPr marL="171450" indent="-171450">
            <a:buFont typeface="Arial" panose="020B0604020202020204" pitchFamily="34" charset="0"/>
            <a:buChar char="•"/>
          </a:pPr>
          <a:r>
            <a:rPr lang="en-US" b="1"/>
            <a:t>Food inflation remained persistently high</a:t>
          </a:r>
          <a:r>
            <a:rPr lang="en-US"/>
            <a:t>, indicating structural supply constraints in essential commodities. </a:t>
          </a:r>
        </a:p>
        <a:p>
          <a:pPr marL="171450" indent="-171450">
            <a:buFont typeface="Arial" panose="020B0604020202020204" pitchFamily="34" charset="0"/>
            <a:buChar char="•"/>
          </a:pPr>
          <a:r>
            <a:rPr lang="en-US" b="1"/>
            <a:t>Inflation shifted from short-term shock to sustained pressure</a:t>
          </a:r>
          <a:r>
            <a:rPr lang="en-US"/>
            <a:t>, moving from crisis-driven to demand-driven dynamics. </a:t>
          </a:r>
        </a:p>
        <a:p>
          <a:pPr marL="171450" indent="-171450">
            <a:buFont typeface="Arial" panose="020B0604020202020204" pitchFamily="34" charset="0"/>
            <a:buChar char="•"/>
          </a:pPr>
          <a:r>
            <a:rPr lang="en-US" b="1"/>
            <a:t>Rural markets showed higher sensitivity to supply disruptions</a:t>
          </a:r>
          <a:r>
            <a:rPr lang="en-US"/>
            <a:t>, while urban inflation was more driven by service demand recovery.</a:t>
          </a:r>
          <a:endParaRPr lang="en-US"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440675</xdr:colOff>
      <xdr:row>0</xdr:row>
      <xdr:rowOff>183615</xdr:rowOff>
    </xdr:from>
    <xdr:to>
      <xdr:col>14</xdr:col>
      <xdr:colOff>367228</xdr:colOff>
      <xdr:row>8</xdr:row>
      <xdr:rowOff>110170</xdr:rowOff>
    </xdr:to>
    <xdr:sp macro="" textlink="">
      <xdr:nvSpPr>
        <xdr:cNvPr id="2" name="Rectangle: Rounded Corners 1">
          <a:extLst>
            <a:ext uri="{FF2B5EF4-FFF2-40B4-BE49-F238E27FC236}">
              <a16:creationId xmlns:a16="http://schemas.microsoft.com/office/drawing/2014/main" id="{531EFE1F-EEF0-C749-9F31-E18169CB8FD7}"/>
            </a:ext>
          </a:extLst>
        </xdr:cNvPr>
        <xdr:cNvSpPr/>
      </xdr:nvSpPr>
      <xdr:spPr>
        <a:xfrm>
          <a:off x="9584675" y="183615"/>
          <a:ext cx="7362939" cy="1468916"/>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Times New Roman" panose="02020603050405020304" pitchFamily="18" charset="0"/>
              <a:cs typeface="Times New Roman" panose="02020603050405020304" pitchFamily="18" charset="0"/>
            </a:rPr>
            <a:t>Imported oil price fluctuations play a crucial and broad-based role in driving CPI inflation, with both direct and indirect transmission effects across categories. The strongest impact is observed in energy-linked and transportation categories, while significant spillover effects are seen in food and other sectors due to increased logistics and production costs. This relationship remains consistent across Rural, Urban, and Rural</a:t>
          </a:r>
          <a:r>
            <a:rPr lang="en-US" sz="1200" b="1" baseline="0">
              <a:latin typeface="Times New Roman" panose="02020603050405020304" pitchFamily="18" charset="0"/>
              <a:cs typeface="Times New Roman" panose="02020603050405020304" pitchFamily="18" charset="0"/>
            </a:rPr>
            <a:t> + Urban </a:t>
          </a:r>
          <a:r>
            <a:rPr lang="en-US" sz="1200" b="1">
              <a:latin typeface="Times New Roman" panose="02020603050405020304" pitchFamily="18" charset="0"/>
              <a:cs typeface="Times New Roman" panose="02020603050405020304" pitchFamily="18" charset="0"/>
            </a:rPr>
            <a:t>indices, though the impact is slightly stronger in Urban areas, highlighting the economy-wide influence of fuel price volatility on inflation.</a:t>
          </a:r>
        </a:p>
      </xdr:txBody>
    </xdr:sp>
    <xdr:clientData/>
  </xdr:twoCellAnchor>
  <xdr:twoCellAnchor>
    <xdr:from>
      <xdr:col>9</xdr:col>
      <xdr:colOff>422313</xdr:colOff>
      <xdr:row>9</xdr:row>
      <xdr:rowOff>156073</xdr:rowOff>
    </xdr:from>
    <xdr:to>
      <xdr:col>12</xdr:col>
      <xdr:colOff>621831</xdr:colOff>
      <xdr:row>21</xdr:row>
      <xdr:rowOff>182531</xdr:rowOff>
    </xdr:to>
    <xdr:sp macro="" textlink="">
      <xdr:nvSpPr>
        <xdr:cNvPr id="3" name="Rectangle 2">
          <a:extLst>
            <a:ext uri="{FF2B5EF4-FFF2-40B4-BE49-F238E27FC236}">
              <a16:creationId xmlns:a16="http://schemas.microsoft.com/office/drawing/2014/main" id="{BF0BB588-1EB6-9B28-3F50-0462A1F6E0C3}"/>
            </a:ext>
          </a:extLst>
        </xdr:cNvPr>
        <xdr:cNvSpPr/>
      </xdr:nvSpPr>
      <xdr:spPr>
        <a:xfrm>
          <a:off x="9566313" y="1891230"/>
          <a:ext cx="3780000" cy="234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t>                          </a:t>
          </a:r>
          <a:r>
            <a:rPr lang="en-US" sz="1400" b="1">
              <a:latin typeface="Times New Roman" panose="02020603050405020304" pitchFamily="18" charset="0"/>
              <a:cs typeface="Times New Roman" panose="02020603050405020304" pitchFamily="18" charset="0"/>
            </a:rPr>
            <a:t>High Positive Correlation </a:t>
          </a:r>
        </a:p>
        <a:p>
          <a:r>
            <a:rPr lang="en-US" sz="1100" b="1">
              <a:latin typeface="Times New Roman" panose="02020603050405020304" pitchFamily="18" charset="0"/>
              <a:cs typeface="Times New Roman" panose="02020603050405020304" pitchFamily="18" charset="0"/>
            </a:rPr>
            <a:t>Oils &amp; Fats:</a:t>
          </a:r>
          <a:endParaRPr lang="en-US" sz="1100">
            <a:latin typeface="Times New Roman" panose="02020603050405020304" pitchFamily="18" charset="0"/>
            <a:cs typeface="Times New Roman" panose="02020603050405020304" pitchFamily="18" charset="0"/>
          </a:endParaRPr>
        </a:p>
        <a:p>
          <a:r>
            <a:rPr lang="en-US" sz="1100">
              <a:latin typeface="Times New Roman" panose="02020603050405020304" pitchFamily="18" charset="0"/>
              <a:cs typeface="Times New Roman" panose="02020603050405020304" pitchFamily="18" charset="0"/>
            </a:rPr>
            <a:t>Rural (</a:t>
          </a:r>
          <a:r>
            <a:rPr lang="en-US" sz="1100" b="1">
              <a:latin typeface="Times New Roman" panose="02020603050405020304" pitchFamily="18" charset="0"/>
              <a:cs typeface="Times New Roman" panose="02020603050405020304" pitchFamily="18" charset="0"/>
            </a:rPr>
            <a:t>74.0%</a:t>
          </a:r>
          <a:r>
            <a:rPr lang="en-US" sz="1100">
              <a:latin typeface="Times New Roman" panose="02020603050405020304" pitchFamily="18" charset="0"/>
              <a:cs typeface="Times New Roman" panose="02020603050405020304" pitchFamily="18" charset="0"/>
            </a:rPr>
            <a:t>), Rural+Urban (</a:t>
          </a:r>
          <a:r>
            <a:rPr lang="en-US" sz="1100" b="1">
              <a:latin typeface="Times New Roman" panose="02020603050405020304" pitchFamily="18" charset="0"/>
              <a:cs typeface="Times New Roman" panose="02020603050405020304" pitchFamily="18" charset="0"/>
            </a:rPr>
            <a:t>75.9%</a:t>
          </a:r>
          <a:r>
            <a:rPr lang="en-US" sz="1100">
              <a:latin typeface="Times New Roman" panose="02020603050405020304" pitchFamily="18" charset="0"/>
              <a:cs typeface="Times New Roman" panose="02020603050405020304" pitchFamily="18" charset="0"/>
            </a:rPr>
            <a:t>), Urban (</a:t>
          </a:r>
          <a:r>
            <a:rPr lang="en-US" sz="1100" b="1">
              <a:latin typeface="Times New Roman" panose="02020603050405020304" pitchFamily="18" charset="0"/>
              <a:cs typeface="Times New Roman" panose="02020603050405020304" pitchFamily="18" charset="0"/>
            </a:rPr>
            <a:t>80.6%</a:t>
          </a:r>
          <a:r>
            <a:rPr lang="en-US" sz="1100">
              <a:latin typeface="Times New Roman" panose="02020603050405020304" pitchFamily="18" charset="0"/>
              <a:cs typeface="Times New Roman" panose="02020603050405020304" pitchFamily="18" charset="0"/>
            </a:rPr>
            <a:t>)</a:t>
          </a:r>
          <a:br>
            <a:rPr lang="en-US" sz="1100">
              <a:latin typeface="Times New Roman" panose="02020603050405020304" pitchFamily="18" charset="0"/>
              <a:cs typeface="Times New Roman" panose="02020603050405020304" pitchFamily="18" charset="0"/>
            </a:rPr>
          </a:br>
          <a:r>
            <a:rPr lang="en-US" sz="1100">
              <a:latin typeface="Times New Roman" panose="02020603050405020304" pitchFamily="18" charset="0"/>
              <a:cs typeface="Times New Roman" panose="02020603050405020304" pitchFamily="18" charset="0"/>
            </a:rPr>
            <a:t> Strongest correlation across all sectors </a:t>
          </a:r>
        </a:p>
        <a:p>
          <a:r>
            <a:rPr lang="en-US" sz="1100" b="1">
              <a:latin typeface="Times New Roman" panose="02020603050405020304" pitchFamily="18" charset="0"/>
              <a:cs typeface="Times New Roman" panose="02020603050405020304" pitchFamily="18" charset="0"/>
            </a:rPr>
            <a:t>Meat &amp; Fish:</a:t>
          </a:r>
          <a:endParaRPr lang="en-US" sz="1100">
            <a:latin typeface="Times New Roman" panose="02020603050405020304" pitchFamily="18" charset="0"/>
            <a:cs typeface="Times New Roman" panose="02020603050405020304" pitchFamily="18" charset="0"/>
          </a:endParaRPr>
        </a:p>
        <a:p>
          <a:r>
            <a:rPr lang="en-US" sz="1100" b="1">
              <a:latin typeface="Times New Roman" panose="02020603050405020304" pitchFamily="18" charset="0"/>
              <a:cs typeface="Times New Roman" panose="02020603050405020304" pitchFamily="18" charset="0"/>
            </a:rPr>
            <a:t>68% across all sectors</a:t>
          </a:r>
          <a:br>
            <a:rPr lang="en-US" sz="1100">
              <a:latin typeface="Times New Roman" panose="02020603050405020304" pitchFamily="18" charset="0"/>
              <a:cs typeface="Times New Roman" panose="02020603050405020304" pitchFamily="18" charset="0"/>
            </a:rPr>
          </a:br>
          <a:r>
            <a:rPr lang="en-US" sz="1100">
              <a:latin typeface="Times New Roman" panose="02020603050405020304" pitchFamily="18" charset="0"/>
              <a:cs typeface="Times New Roman" panose="02020603050405020304" pitchFamily="18" charset="0"/>
            </a:rPr>
            <a:t> Indicates indirect dependency via transport &amp; storage costs </a:t>
          </a:r>
        </a:p>
        <a:p>
          <a:r>
            <a:rPr lang="en-US" sz="1100" b="1">
              <a:latin typeface="Times New Roman" panose="02020603050405020304" pitchFamily="18" charset="0"/>
              <a:cs typeface="Times New Roman" panose="02020603050405020304" pitchFamily="18" charset="0"/>
            </a:rPr>
            <a:t>Transport &amp; Communication:</a:t>
          </a:r>
          <a:endParaRPr lang="en-US" sz="1100">
            <a:latin typeface="Times New Roman" panose="02020603050405020304" pitchFamily="18" charset="0"/>
            <a:cs typeface="Times New Roman" panose="02020603050405020304" pitchFamily="18" charset="0"/>
          </a:endParaRPr>
        </a:p>
        <a:p>
          <a:r>
            <a:rPr lang="en-US" sz="1100">
              <a:latin typeface="Times New Roman" panose="02020603050405020304" pitchFamily="18" charset="0"/>
              <a:cs typeface="Times New Roman" panose="02020603050405020304" pitchFamily="18" charset="0"/>
            </a:rPr>
            <a:t>Rural (</a:t>
          </a:r>
          <a:r>
            <a:rPr lang="en-US" sz="1100" b="1">
              <a:latin typeface="Times New Roman" panose="02020603050405020304" pitchFamily="18" charset="0"/>
              <a:cs typeface="Times New Roman" panose="02020603050405020304" pitchFamily="18" charset="0"/>
            </a:rPr>
            <a:t>49.6%</a:t>
          </a:r>
          <a:r>
            <a:rPr lang="en-US" sz="1100">
              <a:latin typeface="Times New Roman" panose="02020603050405020304" pitchFamily="18" charset="0"/>
              <a:cs typeface="Times New Roman" panose="02020603050405020304" pitchFamily="18" charset="0"/>
            </a:rPr>
            <a:t>), Rural+Urban (</a:t>
          </a:r>
          <a:r>
            <a:rPr lang="en-US" sz="1100" b="1">
              <a:latin typeface="Times New Roman" panose="02020603050405020304" pitchFamily="18" charset="0"/>
              <a:cs typeface="Times New Roman" panose="02020603050405020304" pitchFamily="18" charset="0"/>
            </a:rPr>
            <a:t>51.6%</a:t>
          </a:r>
          <a:r>
            <a:rPr lang="en-US" sz="1100">
              <a:latin typeface="Times New Roman" panose="02020603050405020304" pitchFamily="18" charset="0"/>
              <a:cs typeface="Times New Roman" panose="02020603050405020304" pitchFamily="18" charset="0"/>
            </a:rPr>
            <a:t>), Urban (</a:t>
          </a:r>
          <a:r>
            <a:rPr lang="en-US" sz="1100" b="1">
              <a:latin typeface="Times New Roman" panose="02020603050405020304" pitchFamily="18" charset="0"/>
              <a:cs typeface="Times New Roman" panose="02020603050405020304" pitchFamily="18" charset="0"/>
            </a:rPr>
            <a:t>53.6%</a:t>
          </a:r>
          <a:r>
            <a:rPr lang="en-US" sz="1100">
              <a:latin typeface="Times New Roman" panose="02020603050405020304" pitchFamily="18" charset="0"/>
              <a:cs typeface="Times New Roman" panose="02020603050405020304" pitchFamily="18" charset="0"/>
            </a:rPr>
            <a:t>)</a:t>
          </a:r>
          <a:br>
            <a:rPr lang="en-US" sz="1100">
              <a:latin typeface="Times New Roman" panose="02020603050405020304" pitchFamily="18" charset="0"/>
              <a:cs typeface="Times New Roman" panose="02020603050405020304" pitchFamily="18" charset="0"/>
            </a:rPr>
          </a:br>
          <a:r>
            <a:rPr lang="en-US" sz="1100">
              <a:latin typeface="Times New Roman" panose="02020603050405020304" pitchFamily="18" charset="0"/>
              <a:cs typeface="Times New Roman" panose="02020603050405020304" pitchFamily="18" charset="0"/>
            </a:rPr>
            <a:t> Directly linked to fuel prices </a:t>
          </a:r>
        </a:p>
        <a:p>
          <a:r>
            <a:rPr lang="en-US" sz="1100" b="1">
              <a:latin typeface="Times New Roman" panose="02020603050405020304" pitchFamily="18" charset="0"/>
              <a:cs typeface="Times New Roman" panose="02020603050405020304" pitchFamily="18" charset="0"/>
            </a:rPr>
            <a:t>Food &amp; Beverages:</a:t>
          </a:r>
          <a:endParaRPr lang="en-US" sz="1100">
            <a:latin typeface="Times New Roman" panose="02020603050405020304" pitchFamily="18" charset="0"/>
            <a:cs typeface="Times New Roman" panose="02020603050405020304" pitchFamily="18" charset="0"/>
          </a:endParaRPr>
        </a:p>
        <a:p>
          <a:r>
            <a:rPr lang="en-US" sz="1100" b="1">
              <a:latin typeface="Times New Roman" panose="02020603050405020304" pitchFamily="18" charset="0"/>
              <a:cs typeface="Times New Roman" panose="02020603050405020304" pitchFamily="18" charset="0"/>
            </a:rPr>
            <a:t>42–45% across sectors</a:t>
          </a:r>
          <a:br>
            <a:rPr lang="en-US" sz="1100">
              <a:latin typeface="Times New Roman" panose="02020603050405020304" pitchFamily="18" charset="0"/>
              <a:cs typeface="Times New Roman" panose="02020603050405020304" pitchFamily="18" charset="0"/>
            </a:rPr>
          </a:br>
          <a:r>
            <a:rPr lang="en-US" sz="1100">
              <a:latin typeface="Times New Roman" panose="02020603050405020304" pitchFamily="18" charset="0"/>
              <a:cs typeface="Times New Roman" panose="02020603050405020304" pitchFamily="18" charset="0"/>
            </a:rPr>
            <a:t> Shows pass-through effect of fuel costs into food inflation</a:t>
          </a:r>
        </a:p>
        <a:p>
          <a:pPr algn="l"/>
          <a:endParaRPr lang="en-US" sz="1100"/>
        </a:p>
      </xdr:txBody>
    </xdr:sp>
    <xdr:clientData/>
  </xdr:twoCellAnchor>
  <xdr:twoCellAnchor>
    <xdr:from>
      <xdr:col>12</xdr:col>
      <xdr:colOff>752817</xdr:colOff>
      <xdr:row>9</xdr:row>
      <xdr:rowOff>128530</xdr:rowOff>
    </xdr:from>
    <xdr:to>
      <xdr:col>14</xdr:col>
      <xdr:colOff>136913</xdr:colOff>
      <xdr:row>16</xdr:row>
      <xdr:rowOff>110964</xdr:rowOff>
    </xdr:to>
    <xdr:sp macro="" textlink="">
      <xdr:nvSpPr>
        <xdr:cNvPr id="4" name="Rectangle 3">
          <a:extLst>
            <a:ext uri="{FF2B5EF4-FFF2-40B4-BE49-F238E27FC236}">
              <a16:creationId xmlns:a16="http://schemas.microsoft.com/office/drawing/2014/main" id="{C59E9F27-F5F7-4193-8BC9-FF4015C875CB}"/>
            </a:ext>
          </a:extLst>
        </xdr:cNvPr>
        <xdr:cNvSpPr/>
      </xdr:nvSpPr>
      <xdr:spPr>
        <a:xfrm>
          <a:off x="13477299" y="1863687"/>
          <a:ext cx="3240000" cy="133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r>
            <a:rPr lang="en-US" sz="1400" b="1" baseline="0">
              <a:solidFill>
                <a:schemeClr val="lt1"/>
              </a:solidFill>
              <a:latin typeface="Times New Roman" panose="02020603050405020304" pitchFamily="18" charset="0"/>
              <a:ea typeface="+mn-ea"/>
              <a:cs typeface="Times New Roman" panose="02020603050405020304" pitchFamily="18" charset="0"/>
            </a:rPr>
            <a:t>              </a:t>
          </a:r>
          <a:r>
            <a:rPr lang="en-US" sz="1400" b="1">
              <a:solidFill>
                <a:schemeClr val="lt1"/>
              </a:solidFill>
              <a:latin typeface="Times New Roman" panose="02020603050405020304" pitchFamily="18" charset="0"/>
              <a:ea typeface="+mn-ea"/>
              <a:cs typeface="Times New Roman" panose="02020603050405020304" pitchFamily="18" charset="0"/>
            </a:rPr>
            <a:t>Moderate Correlation</a:t>
          </a:r>
          <a:endParaRPr lang="en-US" sz="1100" b="1">
            <a:solidFill>
              <a:schemeClr val="lt1"/>
            </a:solidFill>
            <a:latin typeface="+mn-lt"/>
            <a:ea typeface="+mn-ea"/>
            <a:cs typeface="+mn-cs"/>
          </a:endParaRPr>
        </a:p>
        <a:p>
          <a:pPr marL="0" indent="0"/>
          <a:r>
            <a:rPr lang="en-US" sz="1100" b="1">
              <a:solidFill>
                <a:schemeClr val="lt1"/>
              </a:solidFill>
              <a:latin typeface="Times New Roman" panose="02020603050405020304" pitchFamily="18" charset="0"/>
              <a:ea typeface="+mn-ea"/>
              <a:cs typeface="Times New Roman" panose="02020603050405020304" pitchFamily="18" charset="0"/>
            </a:rPr>
            <a:t>Vegetables: 42–46% </a:t>
          </a:r>
        </a:p>
        <a:p>
          <a:pPr marL="0" indent="0"/>
          <a:r>
            <a:rPr lang="en-US" sz="1100" b="1">
              <a:solidFill>
                <a:schemeClr val="lt1"/>
              </a:solidFill>
              <a:latin typeface="Times New Roman" panose="02020603050405020304" pitchFamily="18" charset="0"/>
              <a:ea typeface="+mn-ea"/>
              <a:cs typeface="Times New Roman" panose="02020603050405020304" pitchFamily="18" charset="0"/>
            </a:rPr>
            <a:t>Fuel &amp; Light: 38–41% </a:t>
          </a:r>
        </a:p>
        <a:p>
          <a:pPr marL="0" indent="0"/>
          <a:r>
            <a:rPr lang="en-US" sz="1100" b="1">
              <a:solidFill>
                <a:schemeClr val="lt1"/>
              </a:solidFill>
              <a:latin typeface="Times New Roman" panose="02020603050405020304" pitchFamily="18" charset="0"/>
              <a:ea typeface="+mn-ea"/>
              <a:cs typeface="Times New Roman" panose="02020603050405020304" pitchFamily="18" charset="0"/>
            </a:rPr>
            <a:t>Clothing &amp; Footwear: 34–38% </a:t>
          </a:r>
        </a:p>
        <a:p>
          <a:pPr marL="0" indent="0"/>
          <a:r>
            <a:rPr lang="en-US" sz="1100" b="1">
              <a:solidFill>
                <a:schemeClr val="lt1"/>
              </a:solidFill>
              <a:latin typeface="Times New Roman" panose="02020603050405020304" pitchFamily="18" charset="0"/>
              <a:ea typeface="+mn-ea"/>
              <a:cs typeface="Times New Roman" panose="02020603050405020304" pitchFamily="18" charset="0"/>
            </a:rPr>
            <a:t>Miscellaneous: 33–36% </a:t>
          </a:r>
        </a:p>
        <a:p>
          <a:pPr marL="0" indent="0"/>
          <a:r>
            <a:rPr lang="en-US" sz="1100" b="0">
              <a:solidFill>
                <a:schemeClr val="lt1"/>
              </a:solidFill>
              <a:latin typeface="Times New Roman" panose="02020603050405020304" pitchFamily="18" charset="0"/>
              <a:ea typeface="+mn-ea"/>
              <a:cs typeface="Times New Roman" panose="02020603050405020304" pitchFamily="18" charset="0"/>
            </a:rPr>
            <a:t>These categories are indirectly affected via logistics, production, and distribution costs</a:t>
          </a:r>
        </a:p>
        <a:p>
          <a:pPr marL="0" indent="0" algn="l"/>
          <a:endParaRPr lang="en-US" sz="1100" b="1">
            <a:solidFill>
              <a:schemeClr val="lt1"/>
            </a:solidFill>
            <a:latin typeface="+mn-lt"/>
            <a:ea typeface="+mn-ea"/>
            <a:cs typeface="+mn-cs"/>
          </a:endParaRPr>
        </a:p>
      </xdr:txBody>
    </xdr:sp>
    <xdr:clientData/>
  </xdr:twoCellAnchor>
  <xdr:twoCellAnchor>
    <xdr:from>
      <xdr:col>12</xdr:col>
      <xdr:colOff>761998</xdr:colOff>
      <xdr:row>16</xdr:row>
      <xdr:rowOff>174433</xdr:rowOff>
    </xdr:from>
    <xdr:to>
      <xdr:col>14</xdr:col>
      <xdr:colOff>146094</xdr:colOff>
      <xdr:row>22</xdr:row>
      <xdr:rowOff>73445</xdr:rowOff>
    </xdr:to>
    <xdr:sp macro="" textlink="">
      <xdr:nvSpPr>
        <xdr:cNvPr id="5" name="Rectangle 4">
          <a:extLst>
            <a:ext uri="{FF2B5EF4-FFF2-40B4-BE49-F238E27FC236}">
              <a16:creationId xmlns:a16="http://schemas.microsoft.com/office/drawing/2014/main" id="{E86F9F6A-AAD6-4262-A28D-F13893896B09}"/>
            </a:ext>
          </a:extLst>
        </xdr:cNvPr>
        <xdr:cNvSpPr/>
      </xdr:nvSpPr>
      <xdr:spPr>
        <a:xfrm>
          <a:off x="13486480" y="3259156"/>
          <a:ext cx="3240000" cy="105578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a:latin typeface="Times New Roman" panose="02020603050405020304" pitchFamily="18" charset="0"/>
              <a:cs typeface="Times New Roman" panose="02020603050405020304" pitchFamily="18" charset="0"/>
            </a:rPr>
            <a:t>                Low / Negative Correlation</a:t>
          </a:r>
        </a:p>
        <a:p>
          <a:r>
            <a:rPr lang="en-US" b="1"/>
            <a:t>Egg:</a:t>
          </a:r>
          <a:r>
            <a:rPr lang="en-US"/>
            <a:t> </a:t>
          </a:r>
          <a:r>
            <a:rPr lang="en-US" b="1"/>
            <a:t>–32% to –37%</a:t>
          </a:r>
          <a:r>
            <a:rPr lang="en-US"/>
            <a:t> </a:t>
          </a:r>
        </a:p>
        <a:p>
          <a:r>
            <a:rPr lang="en-US" b="1"/>
            <a:t>Pulses:</a:t>
          </a:r>
          <a:r>
            <a:rPr lang="en-US"/>
            <a:t> </a:t>
          </a:r>
          <a:r>
            <a:rPr lang="en-US" b="1"/>
            <a:t>–5% to –23%</a:t>
          </a:r>
          <a:r>
            <a:rPr lang="en-US"/>
            <a:t> </a:t>
          </a:r>
        </a:p>
        <a:p>
          <a:r>
            <a:rPr lang="en-US"/>
            <a:t>Indicates independence from oil price movement, driven more by seasonality and domestic supply</a:t>
          </a:r>
        </a:p>
        <a:p>
          <a:pPr algn="l"/>
          <a:endParaRPr lang="en-US" sz="1100"/>
        </a:p>
      </xdr:txBody>
    </xdr:sp>
    <xdr:clientData/>
  </xdr:twoCellAnchor>
  <xdr:twoCellAnchor>
    <xdr:from>
      <xdr:col>9</xdr:col>
      <xdr:colOff>1092507</xdr:colOff>
      <xdr:row>9</xdr:row>
      <xdr:rowOff>174433</xdr:rowOff>
    </xdr:from>
    <xdr:to>
      <xdr:col>9</xdr:col>
      <xdr:colOff>1257759</xdr:colOff>
      <xdr:row>11</xdr:row>
      <xdr:rowOff>0</xdr:rowOff>
    </xdr:to>
    <xdr:sp macro="" textlink="">
      <xdr:nvSpPr>
        <xdr:cNvPr id="6" name="Arrow: Up 5">
          <a:extLst>
            <a:ext uri="{FF2B5EF4-FFF2-40B4-BE49-F238E27FC236}">
              <a16:creationId xmlns:a16="http://schemas.microsoft.com/office/drawing/2014/main" id="{2F25054C-B587-CC6B-C46F-BA009A6E1A85}"/>
            </a:ext>
          </a:extLst>
        </xdr:cNvPr>
        <xdr:cNvSpPr/>
      </xdr:nvSpPr>
      <xdr:spPr>
        <a:xfrm>
          <a:off x="10236507" y="1909590"/>
          <a:ext cx="165252" cy="211157"/>
        </a:xfrm>
        <a:prstGeom prst="up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1257759</xdr:colOff>
      <xdr:row>17</xdr:row>
      <xdr:rowOff>18361</xdr:rowOff>
    </xdr:from>
    <xdr:to>
      <xdr:col>12</xdr:col>
      <xdr:colOff>1432192</xdr:colOff>
      <xdr:row>18</xdr:row>
      <xdr:rowOff>9180</xdr:rowOff>
    </xdr:to>
    <xdr:sp macro="" textlink="">
      <xdr:nvSpPr>
        <xdr:cNvPr id="7" name="Arrow: Down 6">
          <a:extLst>
            <a:ext uri="{FF2B5EF4-FFF2-40B4-BE49-F238E27FC236}">
              <a16:creationId xmlns:a16="http://schemas.microsoft.com/office/drawing/2014/main" id="{4FB10BA6-09C4-85A8-F25F-3270B9CECE4F}"/>
            </a:ext>
          </a:extLst>
        </xdr:cNvPr>
        <xdr:cNvSpPr/>
      </xdr:nvSpPr>
      <xdr:spPr>
        <a:xfrm>
          <a:off x="13982241" y="3295879"/>
          <a:ext cx="174433" cy="183614"/>
        </a:xfrm>
        <a:prstGeom prst="down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449856</xdr:colOff>
      <xdr:row>24</xdr:row>
      <xdr:rowOff>137711</xdr:rowOff>
    </xdr:from>
    <xdr:to>
      <xdr:col>14</xdr:col>
      <xdr:colOff>165253</xdr:colOff>
      <xdr:row>31</xdr:row>
      <xdr:rowOff>146891</xdr:rowOff>
    </xdr:to>
    <xdr:sp macro="" textlink="">
      <xdr:nvSpPr>
        <xdr:cNvPr id="9" name="Rectangle: Rounded Corners 8">
          <a:extLst>
            <a:ext uri="{FF2B5EF4-FFF2-40B4-BE49-F238E27FC236}">
              <a16:creationId xmlns:a16="http://schemas.microsoft.com/office/drawing/2014/main" id="{36215259-AE38-0E95-FA9A-8A4DF244AA40}"/>
            </a:ext>
          </a:extLst>
        </xdr:cNvPr>
        <xdr:cNvSpPr/>
      </xdr:nvSpPr>
      <xdr:spPr>
        <a:xfrm>
          <a:off x="9593856" y="4764795"/>
          <a:ext cx="7151783" cy="13587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171450" indent="-171450" algn="l">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Oil price fluctuations have a </a:t>
          </a:r>
          <a:r>
            <a:rPr lang="en-US" sz="1200" b="1">
              <a:latin typeface="Times New Roman" panose="02020603050405020304" pitchFamily="18" charset="0"/>
              <a:cs typeface="Times New Roman" panose="02020603050405020304" pitchFamily="18" charset="0"/>
            </a:rPr>
            <a:t>direct and strongest impact on energy-linked categories</a:t>
          </a:r>
          <a:r>
            <a:rPr lang="en-US" sz="1200">
              <a:latin typeface="Times New Roman" panose="02020603050405020304" pitchFamily="18" charset="0"/>
              <a:cs typeface="Times New Roman" panose="02020603050405020304" pitchFamily="18" charset="0"/>
            </a:rPr>
            <a:t>, especially oils &amp; fats. </a:t>
          </a:r>
        </a:p>
        <a:p>
          <a:pPr marL="171450" indent="-171450" algn="l">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Significant </a:t>
          </a:r>
          <a:r>
            <a:rPr lang="en-US" sz="1200" b="1">
              <a:latin typeface="Times New Roman" panose="02020603050405020304" pitchFamily="18" charset="0"/>
              <a:cs typeface="Times New Roman" panose="02020603050405020304" pitchFamily="18" charset="0"/>
            </a:rPr>
            <a:t>indirect impact on food categories</a:t>
          </a:r>
          <a:r>
            <a:rPr lang="en-US" sz="1200">
              <a:latin typeface="Times New Roman" panose="02020603050405020304" pitchFamily="18" charset="0"/>
              <a:cs typeface="Times New Roman" panose="02020603050405020304" pitchFamily="18" charset="0"/>
            </a:rPr>
            <a:t> due to transportation and supply chain costs. </a:t>
          </a:r>
        </a:p>
        <a:p>
          <a:pPr marL="171450" indent="-171450" algn="l">
            <a:buFont typeface="Arial" panose="020B0604020202020204" pitchFamily="34" charset="0"/>
            <a:buChar char="•"/>
          </a:pPr>
          <a:r>
            <a:rPr lang="en-US" sz="1200" b="1">
              <a:latin typeface="Times New Roman" panose="02020603050405020304" pitchFamily="18" charset="0"/>
              <a:cs typeface="Times New Roman" panose="02020603050405020304" pitchFamily="18" charset="0"/>
            </a:rPr>
            <a:t>Transport &amp; communication acts as a key transmission channel</a:t>
          </a:r>
          <a:r>
            <a:rPr lang="en-US" sz="1200">
              <a:latin typeface="Times New Roman" panose="02020603050405020304" pitchFamily="18" charset="0"/>
              <a:cs typeface="Times New Roman" panose="02020603050405020304" pitchFamily="18" charset="0"/>
            </a:rPr>
            <a:t> of oil price shocks into CPI. </a:t>
          </a:r>
        </a:p>
        <a:p>
          <a:pPr marL="171450" indent="-171450" algn="l">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Not all food categories are affected equally — some remain </a:t>
          </a:r>
          <a:r>
            <a:rPr lang="en-US" sz="1200" b="1">
              <a:latin typeface="Times New Roman" panose="02020603050405020304" pitchFamily="18" charset="0"/>
              <a:cs typeface="Times New Roman" panose="02020603050405020304" pitchFamily="18" charset="0"/>
            </a:rPr>
            <a:t>supply-driven rather than fuel-driven</a:t>
          </a:r>
          <a:r>
            <a:rPr lang="en-US" sz="1200">
              <a:latin typeface="Times New Roman" panose="02020603050405020304" pitchFamily="18" charset="0"/>
              <a:cs typeface="Times New Roman" panose="02020603050405020304" pitchFamily="18" charset="0"/>
            </a:rPr>
            <a:t>. </a:t>
          </a:r>
        </a:p>
        <a:p>
          <a:pPr marL="171450" indent="-171450" algn="l">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Urban markets are </a:t>
          </a:r>
          <a:r>
            <a:rPr lang="en-US" sz="1200" b="1">
              <a:latin typeface="Times New Roman" panose="02020603050405020304" pitchFamily="18" charset="0"/>
              <a:cs typeface="Times New Roman" panose="02020603050405020304" pitchFamily="18" charset="0"/>
            </a:rPr>
            <a:t>more exposed to global oil price volatility</a:t>
          </a:r>
          <a:r>
            <a:rPr lang="en-US" sz="1200">
              <a:latin typeface="Times New Roman" panose="02020603050405020304" pitchFamily="18" charset="0"/>
              <a:cs typeface="Times New Roman" panose="02020603050405020304" pitchFamily="18" charset="0"/>
            </a:rPr>
            <a:t> compared to rural areas.</a:t>
          </a:r>
        </a:p>
      </xdr:txBody>
    </xdr:sp>
    <xdr:clientData/>
  </xdr:twoCellAnchor>
  <xdr:twoCellAnchor>
    <xdr:from>
      <xdr:col>10</xdr:col>
      <xdr:colOff>881350</xdr:colOff>
      <xdr:row>23</xdr:row>
      <xdr:rowOff>110169</xdr:rowOff>
    </xdr:from>
    <xdr:to>
      <xdr:col>13</xdr:col>
      <xdr:colOff>9181</xdr:colOff>
      <xdr:row>24</xdr:row>
      <xdr:rowOff>183615</xdr:rowOff>
    </xdr:to>
    <xdr:sp macro="" textlink="">
      <xdr:nvSpPr>
        <xdr:cNvPr id="10" name="Rectangle: Rounded Corners 9">
          <a:extLst>
            <a:ext uri="{FF2B5EF4-FFF2-40B4-BE49-F238E27FC236}">
              <a16:creationId xmlns:a16="http://schemas.microsoft.com/office/drawing/2014/main" id="{6DE2B5DE-2442-A8A0-1316-6083BBA11660}"/>
            </a:ext>
          </a:extLst>
        </xdr:cNvPr>
        <xdr:cNvSpPr/>
      </xdr:nvSpPr>
      <xdr:spPr>
        <a:xfrm>
          <a:off x="11374916" y="4544458"/>
          <a:ext cx="2974554" cy="266241"/>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Key Business Insights</a:t>
          </a:r>
          <a:endParaRPr lang="en-US" sz="20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15</xdr:col>
      <xdr:colOff>125506</xdr:colOff>
      <xdr:row>31</xdr:row>
      <xdr:rowOff>107576</xdr:rowOff>
    </xdr:from>
    <xdr:to>
      <xdr:col>22</xdr:col>
      <xdr:colOff>387318</xdr:colOff>
      <xdr:row>47</xdr:row>
      <xdr:rowOff>118870</xdr:rowOff>
    </xdr:to>
    <xdr:graphicFrame macro="">
      <xdr:nvGraphicFramePr>
        <xdr:cNvPr id="2" name="Chart 1">
          <a:extLst>
            <a:ext uri="{FF2B5EF4-FFF2-40B4-BE49-F238E27FC236}">
              <a16:creationId xmlns:a16="http://schemas.microsoft.com/office/drawing/2014/main" id="{A6167282-7A3C-4072-84ED-96C744EE2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442550</xdr:colOff>
      <xdr:row>31</xdr:row>
      <xdr:rowOff>107576</xdr:rowOff>
    </xdr:from>
    <xdr:to>
      <xdr:col>14</xdr:col>
      <xdr:colOff>507138</xdr:colOff>
      <xdr:row>47</xdr:row>
      <xdr:rowOff>118870</xdr:rowOff>
    </xdr:to>
    <xdr:graphicFrame macro="">
      <xdr:nvGraphicFramePr>
        <xdr:cNvPr id="3" name="Chart 2">
          <a:extLst>
            <a:ext uri="{FF2B5EF4-FFF2-40B4-BE49-F238E27FC236}">
              <a16:creationId xmlns:a16="http://schemas.microsoft.com/office/drawing/2014/main" id="{8A22716E-71E7-46BD-B2CD-A043E9A87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64993</xdr:colOff>
      <xdr:row>31</xdr:row>
      <xdr:rowOff>122814</xdr:rowOff>
    </xdr:from>
    <xdr:to>
      <xdr:col>7</xdr:col>
      <xdr:colOff>201299</xdr:colOff>
      <xdr:row>47</xdr:row>
      <xdr:rowOff>134108</xdr:rowOff>
    </xdr:to>
    <xdr:graphicFrame macro="">
      <xdr:nvGraphicFramePr>
        <xdr:cNvPr id="4" name="Chart 3">
          <a:extLst>
            <a:ext uri="{FF2B5EF4-FFF2-40B4-BE49-F238E27FC236}">
              <a16:creationId xmlns:a16="http://schemas.microsoft.com/office/drawing/2014/main" id="{4A1DE079-9B91-4E5E-B0DD-A71D8FE9B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320645</xdr:colOff>
      <xdr:row>78</xdr:row>
      <xdr:rowOff>134576</xdr:rowOff>
    </xdr:from>
    <xdr:to>
      <xdr:col>19</xdr:col>
      <xdr:colOff>248094</xdr:colOff>
      <xdr:row>82</xdr:row>
      <xdr:rowOff>79745</xdr:rowOff>
    </xdr:to>
    <mc:AlternateContent xmlns:mc="http://schemas.openxmlformats.org/markup-compatibility/2006" xmlns:a14="http://schemas.microsoft.com/office/drawing/2010/main">
      <mc:Choice Requires="a14">
        <xdr:graphicFrame macro="">
          <xdr:nvGraphicFramePr>
            <xdr:cNvPr id="6" name="Sector 2">
              <a:extLst>
                <a:ext uri="{FF2B5EF4-FFF2-40B4-BE49-F238E27FC236}">
                  <a16:creationId xmlns:a16="http://schemas.microsoft.com/office/drawing/2014/main" id="{697EEE3F-06CC-4BF0-B3DC-EEF27F8F72D2}"/>
                </a:ext>
              </a:extLst>
            </xdr:cNvPr>
            <xdr:cNvGraphicFramePr/>
          </xdr:nvGraphicFramePr>
          <xdr:xfrm>
            <a:off x="0" y="0"/>
            <a:ext cx="0" cy="0"/>
          </xdr:xfrm>
          <a:graphic>
            <a:graphicData uri="http://schemas.microsoft.com/office/drawing/2010/slicer">
              <sle:slicer xmlns:sle="http://schemas.microsoft.com/office/drawing/2010/slicer" name="Sector 2"/>
            </a:graphicData>
          </a:graphic>
        </xdr:graphicFrame>
      </mc:Choice>
      <mc:Fallback xmlns="">
        <xdr:sp macro="" textlink="">
          <xdr:nvSpPr>
            <xdr:cNvPr id="0" name=""/>
            <xdr:cNvSpPr>
              <a:spLocks noTextEdit="1"/>
            </xdr:cNvSpPr>
          </xdr:nvSpPr>
          <xdr:spPr>
            <a:xfrm>
              <a:off x="10226645" y="15783454"/>
              <a:ext cx="3495839" cy="688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151773</xdr:colOff>
      <xdr:row>78</xdr:row>
      <xdr:rowOff>151463</xdr:rowOff>
    </xdr:from>
    <xdr:to>
      <xdr:col>11</xdr:col>
      <xdr:colOff>877186</xdr:colOff>
      <xdr:row>97</xdr:row>
      <xdr:rowOff>61734</xdr:rowOff>
    </xdr:to>
    <xdr:graphicFrame macro="">
      <xdr:nvGraphicFramePr>
        <xdr:cNvPr id="7" name="Chart 6">
          <a:extLst>
            <a:ext uri="{FF2B5EF4-FFF2-40B4-BE49-F238E27FC236}">
              <a16:creationId xmlns:a16="http://schemas.microsoft.com/office/drawing/2014/main" id="{F28C3927-8067-4DBC-8A32-8D753AA63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269488</xdr:colOff>
      <xdr:row>148</xdr:row>
      <xdr:rowOff>66627</xdr:rowOff>
    </xdr:from>
    <xdr:to>
      <xdr:col>7</xdr:col>
      <xdr:colOff>537659</xdr:colOff>
      <xdr:row>163</xdr:row>
      <xdr:rowOff>158822</xdr:rowOff>
    </xdr:to>
    <xdr:graphicFrame macro="">
      <xdr:nvGraphicFramePr>
        <xdr:cNvPr id="11" name="Chart 10">
          <a:extLst>
            <a:ext uri="{FF2B5EF4-FFF2-40B4-BE49-F238E27FC236}">
              <a16:creationId xmlns:a16="http://schemas.microsoft.com/office/drawing/2014/main" id="{B26172F6-BFDB-4C31-A160-034283799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315722</xdr:colOff>
      <xdr:row>148</xdr:row>
      <xdr:rowOff>65835</xdr:rowOff>
    </xdr:from>
    <xdr:to>
      <xdr:col>15</xdr:col>
      <xdr:colOff>509551</xdr:colOff>
      <xdr:row>163</xdr:row>
      <xdr:rowOff>158030</xdr:rowOff>
    </xdr:to>
    <xdr:graphicFrame macro="">
      <xdr:nvGraphicFramePr>
        <xdr:cNvPr id="12" name="Chart 11">
          <a:extLst>
            <a:ext uri="{FF2B5EF4-FFF2-40B4-BE49-F238E27FC236}">
              <a16:creationId xmlns:a16="http://schemas.microsoft.com/office/drawing/2014/main" id="{7771161C-FE3B-4FAC-ACD2-203B226F7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826534</xdr:colOff>
      <xdr:row>148</xdr:row>
      <xdr:rowOff>55749</xdr:rowOff>
    </xdr:from>
    <xdr:to>
      <xdr:col>23</xdr:col>
      <xdr:colOff>602192</xdr:colOff>
      <xdr:row>163</xdr:row>
      <xdr:rowOff>147944</xdr:rowOff>
    </xdr:to>
    <xdr:graphicFrame macro="">
      <xdr:nvGraphicFramePr>
        <xdr:cNvPr id="13" name="Chart 12">
          <a:extLst>
            <a:ext uri="{FF2B5EF4-FFF2-40B4-BE49-F238E27FC236}">
              <a16:creationId xmlns:a16="http://schemas.microsoft.com/office/drawing/2014/main" id="{1EF56BDC-D14C-4976-A593-CC0DA8346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9293</xdr:colOff>
      <xdr:row>3</xdr:row>
      <xdr:rowOff>134470</xdr:rowOff>
    </xdr:from>
    <xdr:to>
      <xdr:col>10</xdr:col>
      <xdr:colOff>681316</xdr:colOff>
      <xdr:row>12</xdr:row>
      <xdr:rowOff>111511</xdr:rowOff>
    </xdr:to>
    <xdr:graphicFrame macro="">
      <xdr:nvGraphicFramePr>
        <xdr:cNvPr id="10" name="Chart 9">
          <a:extLst>
            <a:ext uri="{FF2B5EF4-FFF2-40B4-BE49-F238E27FC236}">
              <a16:creationId xmlns:a16="http://schemas.microsoft.com/office/drawing/2014/main" id="{6B42230D-BB1E-40C8-84FB-77AD53C33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349624</xdr:colOff>
      <xdr:row>2</xdr:row>
      <xdr:rowOff>134471</xdr:rowOff>
    </xdr:from>
    <xdr:to>
      <xdr:col>7</xdr:col>
      <xdr:colOff>519953</xdr:colOff>
      <xdr:row>3</xdr:row>
      <xdr:rowOff>125506</xdr:rowOff>
    </xdr:to>
    <xdr:sp macro="" textlink="">
      <xdr:nvSpPr>
        <xdr:cNvPr id="14" name="Rectangle 13">
          <a:extLst>
            <a:ext uri="{FF2B5EF4-FFF2-40B4-BE49-F238E27FC236}">
              <a16:creationId xmlns:a16="http://schemas.microsoft.com/office/drawing/2014/main" id="{97018898-F8BE-4D01-7BA6-004A135D4095}"/>
            </a:ext>
          </a:extLst>
        </xdr:cNvPr>
        <xdr:cNvSpPr/>
      </xdr:nvSpPr>
      <xdr:spPr>
        <a:xfrm>
          <a:off x="2788024" y="493059"/>
          <a:ext cx="2635623" cy="20618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Aptos Black" panose="020B0004020202020204" pitchFamily="34" charset="0"/>
            </a:rPr>
            <a:t>Overall Contribution</a:t>
          </a:r>
        </a:p>
      </xdr:txBody>
    </xdr:sp>
    <xdr:clientData/>
  </xdr:twoCellAnchor>
  <xdr:twoCellAnchor>
    <xdr:from>
      <xdr:col>11</xdr:col>
      <xdr:colOff>475131</xdr:colOff>
      <xdr:row>3</xdr:row>
      <xdr:rowOff>152401</xdr:rowOff>
    </xdr:from>
    <xdr:to>
      <xdr:col>19</xdr:col>
      <xdr:colOff>385482</xdr:colOff>
      <xdr:row>12</xdr:row>
      <xdr:rowOff>89647</xdr:rowOff>
    </xdr:to>
    <xdr:sp macro="" textlink="">
      <xdr:nvSpPr>
        <xdr:cNvPr id="16" name="Oval 15">
          <a:extLst>
            <a:ext uri="{FF2B5EF4-FFF2-40B4-BE49-F238E27FC236}">
              <a16:creationId xmlns:a16="http://schemas.microsoft.com/office/drawing/2014/main" id="{E2C1EEE4-3B4F-585A-36B2-32FC0DC49FE8}"/>
            </a:ext>
          </a:extLst>
        </xdr:cNvPr>
        <xdr:cNvSpPr/>
      </xdr:nvSpPr>
      <xdr:spPr>
        <a:xfrm>
          <a:off x="8247531" y="726142"/>
          <a:ext cx="5576045" cy="2788023"/>
        </a:xfrm>
        <a:prstGeom prst="ellipse">
          <a:avLst/>
        </a:prstGeom>
        <a:solidFill>
          <a:srgbClr val="00206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200" b="1">
              <a:solidFill>
                <a:schemeClr val="bg1"/>
              </a:solidFill>
              <a:latin typeface="Times New Roman" panose="02020603050405020304" pitchFamily="18" charset="0"/>
              <a:cs typeface="Times New Roman" panose="02020603050405020304" pitchFamily="18" charset="0"/>
            </a:rPr>
            <a:t>The CPI basket is heavily concentrated towards essential consumption, with food alone accounting for 46.5% of the total share. This indicates that inflation in India is largely driven by food prices and is highly sensitive to supply-side factors and seasonal variations. While discretionary categories such as luxury (15.9%) and clothing (12.0%) also contribute meaningfully, their impact remains secondary. The relatively lower share of other categories suggests that overall CPI movements are concentrated in a few high-weight segments, making food price stability critical for controlling inflation.</a:t>
          </a:r>
        </a:p>
      </xdr:txBody>
    </xdr:sp>
    <xdr:clientData/>
  </xdr:twoCellAnchor>
  <xdr:twoCellAnchor>
    <xdr:from>
      <xdr:col>3</xdr:col>
      <xdr:colOff>98613</xdr:colOff>
      <xdr:row>14</xdr:row>
      <xdr:rowOff>44823</xdr:rowOff>
    </xdr:from>
    <xdr:to>
      <xdr:col>18</xdr:col>
      <xdr:colOff>510988</xdr:colOff>
      <xdr:row>28</xdr:row>
      <xdr:rowOff>71717</xdr:rowOff>
    </xdr:to>
    <xdr:sp macro="" textlink="">
      <xdr:nvSpPr>
        <xdr:cNvPr id="17" name="Rectangle: Rounded Corners 16">
          <a:extLst>
            <a:ext uri="{FF2B5EF4-FFF2-40B4-BE49-F238E27FC236}">
              <a16:creationId xmlns:a16="http://schemas.microsoft.com/office/drawing/2014/main" id="{7A48D331-AB95-ED31-DA95-C7E41331D066}"/>
            </a:ext>
          </a:extLst>
        </xdr:cNvPr>
        <xdr:cNvSpPr/>
      </xdr:nvSpPr>
      <xdr:spPr>
        <a:xfrm>
          <a:off x="1927413" y="3827929"/>
          <a:ext cx="11412069" cy="25370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171450" indent="-171450" algn="l">
            <a:buFont typeface="Arial" panose="020B0604020202020204" pitchFamily="34" charset="0"/>
            <a:buChar char="•"/>
          </a:pPr>
          <a:r>
            <a:rPr lang="en-US" sz="1400" b="1" baseline="0">
              <a:latin typeface="Times New Roman" panose="02020603050405020304" pitchFamily="18" charset="0"/>
              <a:cs typeface="Times New Roman" panose="02020603050405020304" pitchFamily="18" charset="0"/>
            </a:rPr>
            <a:t> </a:t>
          </a:r>
          <a:r>
            <a:rPr lang="en-US" sz="1400" b="1">
              <a:latin typeface="Times New Roman" panose="02020603050405020304" pitchFamily="18" charset="0"/>
              <a:cs typeface="Times New Roman" panose="02020603050405020304" pitchFamily="18" charset="0"/>
            </a:rPr>
            <a:t>Food accounts for 46.5% of the CPI basket, making inflation in India highly sensitive to food price fluctuations.</a:t>
          </a:r>
        </a:p>
        <a:p>
          <a:pPr marL="171450" indent="-171450" algn="l">
            <a:buFont typeface="Arial" panose="020B0604020202020204" pitchFamily="34" charset="0"/>
            <a:buChar char="•"/>
          </a:pPr>
          <a:r>
            <a:rPr lang="en-US" sz="1400" b="1">
              <a:latin typeface="Times New Roman" panose="02020603050405020304" pitchFamily="18" charset="0"/>
              <a:cs typeface="Times New Roman" panose="02020603050405020304" pitchFamily="18" charset="0"/>
            </a:rPr>
            <a:t>Luxury (15.9%) and Clothing (12.0%) together form a significant ~28% share, indicating that discretionary consumption plays a meaningful role alongside essential spending. </a:t>
          </a:r>
        </a:p>
        <a:p>
          <a:pPr marL="171450" indent="-171450" algn="l">
            <a:buFont typeface="Arial" panose="020B0604020202020204" pitchFamily="34" charset="0"/>
            <a:buChar char="•"/>
          </a:pPr>
          <a:r>
            <a:rPr lang="en-US" sz="1400" b="1">
              <a:latin typeface="Times New Roman" panose="02020603050405020304" pitchFamily="18" charset="0"/>
              <a:cs typeface="Times New Roman" panose="02020603050405020304" pitchFamily="18" charset="0"/>
            </a:rPr>
            <a:t>Essential categories like Housing (6.4%), Fuel (4.0%), and Health (4.0%) show moderate but stable contributions, suggesting steady baseline inflation in core necessities. </a:t>
          </a:r>
        </a:p>
        <a:p>
          <a:pPr marL="171450" indent="-171450" algn="l">
            <a:buFont typeface="Arial" panose="020B0604020202020204" pitchFamily="34" charset="0"/>
            <a:buChar char="•"/>
          </a:pPr>
          <a:r>
            <a:rPr lang="en-US" sz="1400" b="1">
              <a:latin typeface="Times New Roman" panose="02020603050405020304" pitchFamily="18" charset="0"/>
              <a:cs typeface="Times New Roman" panose="02020603050405020304" pitchFamily="18" charset="0"/>
            </a:rPr>
            <a:t>Low-weight categories such as Education (3.9%), Miscellaneous (3.8%), and Transport (3.6%) have minimal direct influence, but can still act as secondary drivers during economic shocks.</a:t>
          </a:r>
        </a:p>
        <a:p>
          <a:pPr algn="l"/>
          <a:endParaRPr lang="en-US" sz="1400"/>
        </a:p>
      </xdr:txBody>
    </xdr:sp>
    <xdr:clientData/>
  </xdr:twoCellAnchor>
  <xdr:twoCellAnchor>
    <xdr:from>
      <xdr:col>10</xdr:col>
      <xdr:colOff>950258</xdr:colOff>
      <xdr:row>22</xdr:row>
      <xdr:rowOff>152397</xdr:rowOff>
    </xdr:from>
    <xdr:to>
      <xdr:col>18</xdr:col>
      <xdr:colOff>206187</xdr:colOff>
      <xdr:row>29</xdr:row>
      <xdr:rowOff>116539</xdr:rowOff>
    </xdr:to>
    <xdr:sp macro="" textlink="">
      <xdr:nvSpPr>
        <xdr:cNvPr id="18" name="Rectangle 17">
          <a:extLst>
            <a:ext uri="{FF2B5EF4-FFF2-40B4-BE49-F238E27FC236}">
              <a16:creationId xmlns:a16="http://schemas.microsoft.com/office/drawing/2014/main" id="{5F55D1C7-4F4E-AD16-22FB-415C2D8C3FB6}"/>
            </a:ext>
          </a:extLst>
        </xdr:cNvPr>
        <xdr:cNvSpPr/>
      </xdr:nvSpPr>
      <xdr:spPr>
        <a:xfrm>
          <a:off x="7682752" y="5369856"/>
          <a:ext cx="5351929" cy="1219201"/>
        </a:xfrm>
        <a:prstGeom prst="rect">
          <a:avLst/>
        </a:prstGeom>
        <a:solidFill>
          <a:schemeClr val="accent5"/>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sz="1050" b="1">
              <a:solidFill>
                <a:schemeClr val="lt1"/>
              </a:solidFill>
              <a:effectLst/>
              <a:latin typeface="Times New Roman" panose="02020603050405020304" pitchFamily="18" charset="0"/>
              <a:ea typeface="+mn-ea"/>
              <a:cs typeface="Times New Roman" panose="02020603050405020304" pitchFamily="18" charset="0"/>
            </a:rPr>
            <a:t> Caveats</a:t>
          </a:r>
          <a:endParaRPr lang="en-US" sz="1050" b="1">
            <a:effectLst/>
            <a:latin typeface="Times New Roman" panose="02020603050405020304" pitchFamily="18" charset="0"/>
            <a:cs typeface="Times New Roman" panose="02020603050405020304" pitchFamily="18" charset="0"/>
          </a:endParaRPr>
        </a:p>
        <a:p>
          <a:r>
            <a:rPr lang="en-US" sz="1050" b="0">
              <a:solidFill>
                <a:schemeClr val="lt1"/>
              </a:solidFill>
              <a:effectLst/>
              <a:latin typeface="Times New Roman" panose="02020603050405020304" pitchFamily="18" charset="0"/>
              <a:ea typeface="+mn-ea"/>
              <a:cs typeface="Times New Roman" panose="02020603050405020304" pitchFamily="18" charset="0"/>
            </a:rPr>
            <a:t>The analysis is based on CPI data for the month of May across years (2013–2023) to ensure consistency. This approach may not capture seasonal variations, and 2023 reflects partial-year data.</a:t>
          </a:r>
          <a:endParaRPr lang="en-US" sz="1050" b="0">
            <a:effectLst/>
            <a:latin typeface="Times New Roman" panose="02020603050405020304" pitchFamily="18" charset="0"/>
            <a:cs typeface="Times New Roman" panose="02020603050405020304" pitchFamily="18" charset="0"/>
          </a:endParaRPr>
        </a:p>
        <a:p>
          <a:r>
            <a:rPr lang="en-US" sz="1050" b="1">
              <a:solidFill>
                <a:schemeClr val="lt1"/>
              </a:solidFill>
              <a:effectLst/>
              <a:latin typeface="Times New Roman" panose="02020603050405020304" pitchFamily="18" charset="0"/>
              <a:ea typeface="+mn-ea"/>
              <a:cs typeface="Times New Roman" panose="02020603050405020304" pitchFamily="18" charset="0"/>
            </a:rPr>
            <a:t> Methodology</a:t>
          </a:r>
          <a:endParaRPr lang="en-US" sz="1050" b="1">
            <a:effectLst/>
            <a:latin typeface="Times New Roman" panose="02020603050405020304" pitchFamily="18" charset="0"/>
            <a:cs typeface="Times New Roman" panose="02020603050405020304" pitchFamily="18" charset="0"/>
          </a:endParaRPr>
        </a:p>
        <a:p>
          <a:r>
            <a:rPr lang="en-US" sz="1050" b="0">
              <a:latin typeface="Times New Roman" panose="02020603050405020304" pitchFamily="18" charset="0"/>
              <a:cs typeface="Times New Roman" panose="02020603050405020304" pitchFamily="18" charset="0"/>
            </a:rPr>
            <a:t>Contribution (%) = (Category CPI Index / Total CPI Index) × 100.</a:t>
          </a:r>
          <a:br>
            <a:rPr lang="en-US" sz="1050" b="0">
              <a:latin typeface="Times New Roman" panose="02020603050405020304" pitchFamily="18" charset="0"/>
              <a:cs typeface="Times New Roman" panose="02020603050405020304" pitchFamily="18" charset="0"/>
            </a:rPr>
          </a:br>
          <a:r>
            <a:rPr lang="en-US" sz="1050" b="0">
              <a:latin typeface="Times New Roman" panose="02020603050405020304" pitchFamily="18" charset="0"/>
              <a:cs typeface="Times New Roman" panose="02020603050405020304" pitchFamily="18" charset="0"/>
            </a:rPr>
            <a:t>For the purpose of this analysis, equal weighting across categories has been assumed.</a:t>
          </a:r>
        </a:p>
      </xdr:txBody>
    </xdr:sp>
    <xdr:clientData/>
  </xdr:twoCellAnchor>
  <xdr:twoCellAnchor>
    <xdr:from>
      <xdr:col>8</xdr:col>
      <xdr:colOff>573740</xdr:colOff>
      <xdr:row>12</xdr:row>
      <xdr:rowOff>179293</xdr:rowOff>
    </xdr:from>
    <xdr:to>
      <xdr:col>11</xdr:col>
      <xdr:colOff>114634</xdr:colOff>
      <xdr:row>15</xdr:row>
      <xdr:rowOff>1411</xdr:rowOff>
    </xdr:to>
    <xdr:sp macro="" textlink="">
      <xdr:nvSpPr>
        <xdr:cNvPr id="20" name="Rectangle: Rounded Corners 19">
          <a:extLst>
            <a:ext uri="{FF2B5EF4-FFF2-40B4-BE49-F238E27FC236}">
              <a16:creationId xmlns:a16="http://schemas.microsoft.com/office/drawing/2014/main" id="{C835B42D-463B-9F2F-AB00-6EDCEBFF236F}"/>
            </a:ext>
          </a:extLst>
        </xdr:cNvPr>
        <xdr:cNvSpPr/>
      </xdr:nvSpPr>
      <xdr:spPr>
        <a:xfrm>
          <a:off x="6087034" y="3603811"/>
          <a:ext cx="1800000" cy="360000"/>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Key Insight</a:t>
          </a:r>
        </a:p>
      </xdr:txBody>
    </xdr:sp>
    <xdr:clientData/>
  </xdr:twoCellAnchor>
  <xdr:twoCellAnchor>
    <xdr:from>
      <xdr:col>0</xdr:col>
      <xdr:colOff>304798</xdr:colOff>
      <xdr:row>51</xdr:row>
      <xdr:rowOff>116540</xdr:rowOff>
    </xdr:from>
    <xdr:to>
      <xdr:col>12</xdr:col>
      <xdr:colOff>98611</xdr:colOff>
      <xdr:row>69</xdr:row>
      <xdr:rowOff>107575</xdr:rowOff>
    </xdr:to>
    <xdr:graphicFrame macro="">
      <xdr:nvGraphicFramePr>
        <xdr:cNvPr id="21" name="Chart 20">
          <a:extLst>
            <a:ext uri="{FF2B5EF4-FFF2-40B4-BE49-F238E27FC236}">
              <a16:creationId xmlns:a16="http://schemas.microsoft.com/office/drawing/2014/main" id="{E048139F-3F13-4453-ADE7-9D9D6E64C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179294</xdr:colOff>
      <xdr:row>51</xdr:row>
      <xdr:rowOff>170329</xdr:rowOff>
    </xdr:from>
    <xdr:to>
      <xdr:col>22</xdr:col>
      <xdr:colOff>403412</xdr:colOff>
      <xdr:row>57</xdr:row>
      <xdr:rowOff>174564</xdr:rowOff>
    </xdr:to>
    <xdr:sp macro="" textlink="">
      <xdr:nvSpPr>
        <xdr:cNvPr id="22" name="Rectangle 21">
          <a:extLst>
            <a:ext uri="{FF2B5EF4-FFF2-40B4-BE49-F238E27FC236}">
              <a16:creationId xmlns:a16="http://schemas.microsoft.com/office/drawing/2014/main" id="{AEAC845F-6ECA-4BE6-B31E-B3102DF218E9}"/>
            </a:ext>
          </a:extLst>
        </xdr:cNvPr>
        <xdr:cNvSpPr/>
      </xdr:nvSpPr>
      <xdr:spPr>
        <a:xfrm>
          <a:off x="8839200" y="10408023"/>
          <a:ext cx="6831106" cy="10800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Times New Roman" panose="02020603050405020304" pitchFamily="18" charset="0"/>
              <a:cs typeface="Times New Roman" panose="02020603050405020304" pitchFamily="18" charset="0"/>
            </a:rPr>
            <a:t>The YoY CPI inflation trend  shows a fluctuating pattern from 2018 to 2023. Inflation declined from 4.9% in 2018 to 3.6% in 2019, followed by a sharp increase to 6.3% in 2020. It remained elevated in 2021 (6.2%) and further peaked at 7.0% in 2022, before moderating to 4.3% in 2023.</a:t>
          </a:r>
        </a:p>
      </xdr:txBody>
    </xdr:sp>
    <xdr:clientData/>
  </xdr:twoCellAnchor>
  <xdr:twoCellAnchor>
    <xdr:from>
      <xdr:col>13</xdr:col>
      <xdr:colOff>340661</xdr:colOff>
      <xdr:row>58</xdr:row>
      <xdr:rowOff>62754</xdr:rowOff>
    </xdr:from>
    <xdr:to>
      <xdr:col>21</xdr:col>
      <xdr:colOff>352873</xdr:colOff>
      <xdr:row>70</xdr:row>
      <xdr:rowOff>71225</xdr:rowOff>
    </xdr:to>
    <xdr:sp macro="" textlink="">
      <xdr:nvSpPr>
        <xdr:cNvPr id="23" name="Rectangle: Rounded Corners 22">
          <a:extLst>
            <a:ext uri="{FF2B5EF4-FFF2-40B4-BE49-F238E27FC236}">
              <a16:creationId xmlns:a16="http://schemas.microsoft.com/office/drawing/2014/main" id="{B9B48F2B-A51D-78FB-CF9F-CE142CCF94C4}"/>
            </a:ext>
          </a:extLst>
        </xdr:cNvPr>
        <xdr:cNvSpPr/>
      </xdr:nvSpPr>
      <xdr:spPr>
        <a:xfrm>
          <a:off x="9610167" y="11734801"/>
          <a:ext cx="5400000" cy="216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latin typeface="Times New Roman" panose="02020603050405020304" pitchFamily="18" charset="0"/>
            <a:cs typeface="Times New Roman" panose="02020603050405020304" pitchFamily="18" charset="0"/>
          </a:endParaRPr>
        </a:p>
        <a:p>
          <a:pPr algn="l"/>
          <a:r>
            <a:rPr lang="en-US" sz="1400" b="1">
              <a:latin typeface="Times New Roman" panose="02020603050405020304" pitchFamily="18" charset="0"/>
              <a:cs typeface="Times New Roman" panose="02020603050405020304" pitchFamily="18" charset="0"/>
            </a:rPr>
            <a:t>Inflation reached its highest level in 2022 at 7.0%, marking the peak during the observed period. </a:t>
          </a:r>
        </a:p>
        <a:p>
          <a:pPr algn="l"/>
          <a:r>
            <a:rPr lang="en-US" sz="1400" b="1">
              <a:latin typeface="Times New Roman" panose="02020603050405020304" pitchFamily="18" charset="0"/>
              <a:cs typeface="Times New Roman" panose="02020603050405020304" pitchFamily="18" charset="0"/>
            </a:rPr>
            <a:t>A sharp rise in inflation from 2019 (3.6%) to 2020 (6.3%) indicates the beginning of a high inflation phase.</a:t>
          </a:r>
        </a:p>
        <a:p>
          <a:pPr algn="l"/>
          <a:r>
            <a:rPr lang="en-US" sz="1400" b="1">
              <a:latin typeface="Times New Roman" panose="02020603050405020304" pitchFamily="18" charset="0"/>
              <a:cs typeface="Times New Roman" panose="02020603050405020304" pitchFamily="18" charset="0"/>
            </a:rPr>
            <a:t>Inflation remained consistently high during 2020–2022, suggesting prolonged economic pressure. </a:t>
          </a:r>
        </a:p>
        <a:p>
          <a:pPr algn="l"/>
          <a:r>
            <a:rPr lang="en-US" sz="1400" b="1">
              <a:latin typeface="Times New Roman" panose="02020603050405020304" pitchFamily="18" charset="0"/>
              <a:cs typeface="Times New Roman" panose="02020603050405020304" pitchFamily="18" charset="0"/>
            </a:rPr>
            <a:t>The decline to 4.3% in 2023 indicates early signs of inflation stabilization.</a:t>
          </a:r>
        </a:p>
      </xdr:txBody>
    </xdr:sp>
    <xdr:clientData/>
  </xdr:twoCellAnchor>
  <xdr:twoCellAnchor>
    <xdr:from>
      <xdr:col>16</xdr:col>
      <xdr:colOff>17929</xdr:colOff>
      <xdr:row>58</xdr:row>
      <xdr:rowOff>35858</xdr:rowOff>
    </xdr:from>
    <xdr:to>
      <xdr:col>18</xdr:col>
      <xdr:colOff>320823</xdr:colOff>
      <xdr:row>60</xdr:row>
      <xdr:rowOff>37270</xdr:rowOff>
    </xdr:to>
    <xdr:sp macro="" textlink="">
      <xdr:nvSpPr>
        <xdr:cNvPr id="24" name="Rectangle: Rounded Corners 23">
          <a:extLst>
            <a:ext uri="{FF2B5EF4-FFF2-40B4-BE49-F238E27FC236}">
              <a16:creationId xmlns:a16="http://schemas.microsoft.com/office/drawing/2014/main" id="{CD5A2907-2F3D-458F-84B9-3071976CFAC1}"/>
            </a:ext>
          </a:extLst>
        </xdr:cNvPr>
        <xdr:cNvSpPr/>
      </xdr:nvSpPr>
      <xdr:spPr>
        <a:xfrm>
          <a:off x="11349317" y="11707905"/>
          <a:ext cx="1800000" cy="360000"/>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Key Insight</a:t>
          </a:r>
        </a:p>
      </xdr:txBody>
    </xdr:sp>
    <xdr:clientData/>
  </xdr:twoCellAnchor>
  <xdr:twoCellAnchor>
    <xdr:from>
      <xdr:col>1</xdr:col>
      <xdr:colOff>471794</xdr:colOff>
      <xdr:row>71</xdr:row>
      <xdr:rowOff>179189</xdr:rowOff>
    </xdr:from>
    <xdr:to>
      <xdr:col>20</xdr:col>
      <xdr:colOff>84540</xdr:colOff>
      <xdr:row>75</xdr:row>
      <xdr:rowOff>182013</xdr:rowOff>
    </xdr:to>
    <xdr:sp macro="" textlink="">
      <xdr:nvSpPr>
        <xdr:cNvPr id="28" name="Rectangle: Rounded Corners 27">
          <a:extLst>
            <a:ext uri="{FF2B5EF4-FFF2-40B4-BE49-F238E27FC236}">
              <a16:creationId xmlns:a16="http://schemas.microsoft.com/office/drawing/2014/main" id="{5D49D938-1528-DAE4-BE24-2145C6BD1C18}"/>
            </a:ext>
          </a:extLst>
        </xdr:cNvPr>
        <xdr:cNvSpPr/>
      </xdr:nvSpPr>
      <xdr:spPr>
        <a:xfrm>
          <a:off x="1083166" y="14559724"/>
          <a:ext cx="13062932" cy="747103"/>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latin typeface="Times New Roman" panose="02020603050405020304" pitchFamily="18" charset="0"/>
              <a:cs typeface="Times New Roman" panose="02020603050405020304" pitchFamily="18" charset="0"/>
            </a:rPr>
            <a:t>The inflation trend largely reflects the effects of external shocks like the COVID-19 pandemic and fluctuations in global commodity prices, with 2022 standing out as the peak inflation year due to simultaneous demand and supply imbalances.</a:t>
          </a:r>
        </a:p>
        <a:p>
          <a:pPr algn="l"/>
          <a:endParaRPr lang="en-US" sz="1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150628</xdr:colOff>
      <xdr:row>70</xdr:row>
      <xdr:rowOff>88605</xdr:rowOff>
    </xdr:from>
    <xdr:to>
      <xdr:col>11</xdr:col>
      <xdr:colOff>230372</xdr:colOff>
      <xdr:row>72</xdr:row>
      <xdr:rowOff>0</xdr:rowOff>
    </xdr:to>
    <xdr:sp macro="" textlink="">
      <xdr:nvSpPr>
        <xdr:cNvPr id="29" name="TextBox 28">
          <a:extLst>
            <a:ext uri="{FF2B5EF4-FFF2-40B4-BE49-F238E27FC236}">
              <a16:creationId xmlns:a16="http://schemas.microsoft.com/office/drawing/2014/main" id="{07461602-A90C-5F62-A5F6-6A0D40A8A69C}"/>
            </a:ext>
          </a:extLst>
        </xdr:cNvPr>
        <xdr:cNvSpPr txBox="1"/>
      </xdr:nvSpPr>
      <xdr:spPr>
        <a:xfrm>
          <a:off x="5670698" y="14283070"/>
          <a:ext cx="2339162" cy="283535"/>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lt1"/>
              </a:solidFill>
              <a:latin typeface="+mn-lt"/>
              <a:ea typeface="+mn-ea"/>
              <a:cs typeface="+mn-cs"/>
            </a:rPr>
            <a:t>CONCLUSION</a:t>
          </a:r>
        </a:p>
      </xdr:txBody>
    </xdr:sp>
    <xdr:clientData/>
  </xdr:twoCellAnchor>
  <xdr:twoCellAnchor>
    <xdr:from>
      <xdr:col>12</xdr:col>
      <xdr:colOff>53163</xdr:colOff>
      <xdr:row>83</xdr:row>
      <xdr:rowOff>26582</xdr:rowOff>
    </xdr:from>
    <xdr:to>
      <xdr:col>23</xdr:col>
      <xdr:colOff>8861</xdr:colOff>
      <xdr:row>96</xdr:row>
      <xdr:rowOff>132907</xdr:rowOff>
    </xdr:to>
    <xdr:sp macro="" textlink="">
      <xdr:nvSpPr>
        <xdr:cNvPr id="5" name="Rectangle: Rounded Corners 4">
          <a:extLst>
            <a:ext uri="{FF2B5EF4-FFF2-40B4-BE49-F238E27FC236}">
              <a16:creationId xmlns:a16="http://schemas.microsoft.com/office/drawing/2014/main" id="{302721E2-2008-1351-E30F-CEFE3F45D42D}"/>
            </a:ext>
          </a:extLst>
        </xdr:cNvPr>
        <xdr:cNvSpPr/>
      </xdr:nvSpPr>
      <xdr:spPr>
        <a:xfrm>
          <a:off x="8718698" y="16639954"/>
          <a:ext cx="7185837" cy="252523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Times New Roman" panose="02020603050405020304" pitchFamily="18" charset="0"/>
              <a:cs typeface="Times New Roman" panose="02020603050405020304" pitchFamily="18" charset="0"/>
            </a:rPr>
            <a:t>A</a:t>
          </a:r>
          <a:r>
            <a:rPr lang="en-US" sz="1400" b="1" baseline="0">
              <a:latin typeface="Times New Roman" panose="02020603050405020304" pitchFamily="18" charset="0"/>
              <a:cs typeface="Times New Roman" panose="02020603050405020304" pitchFamily="18" charset="0"/>
            </a:rPr>
            <a:t> </a:t>
          </a:r>
          <a:r>
            <a:rPr lang="en-US" sz="1400" b="1">
              <a:latin typeface="Times New Roman" panose="02020603050405020304" pitchFamily="18" charset="0"/>
              <a:cs typeface="Times New Roman" panose="02020603050405020304" pitchFamily="18" charset="0"/>
            </a:rPr>
            <a:t>consistent and synchronized trend in food inflation is observed, with prices rising steadily during mid to late 2022, peaking around October–November 2022, followed by a slight moderation in early 2023, and then increasing again towards May 2023. November 2022 marks the peak inflation period, while May 2022 represents the lowest level, indicating a broad-based rise in food prices across regions rather than a sector-specific movement. This pattern highlights that food inflation is primarily driven by key essential commodities, particularly high-weight staples such as cereals (12%) and spices (16–17%), which show strong upward pressure across all sectors. At the same time, significant declines in categories like oils (17% to 19%) and vegetables (6% to 7%) partially offset the overall inflationary impact, reflecting a mixed but synchronized inflation trend across the CPI basket.</a:t>
          </a:r>
        </a:p>
      </xdr:txBody>
    </xdr:sp>
    <xdr:clientData/>
  </xdr:twoCellAnchor>
  <xdr:twoCellAnchor>
    <xdr:from>
      <xdr:col>0</xdr:col>
      <xdr:colOff>310116</xdr:colOff>
      <xdr:row>98</xdr:row>
      <xdr:rowOff>1</xdr:rowOff>
    </xdr:from>
    <xdr:to>
      <xdr:col>5</xdr:col>
      <xdr:colOff>903768</xdr:colOff>
      <xdr:row>109</xdr:row>
      <xdr:rowOff>168350</xdr:rowOff>
    </xdr:to>
    <xdr:sp macro="" textlink="">
      <xdr:nvSpPr>
        <xdr:cNvPr id="8" name="Rectangle 7">
          <a:extLst>
            <a:ext uri="{FF2B5EF4-FFF2-40B4-BE49-F238E27FC236}">
              <a16:creationId xmlns:a16="http://schemas.microsoft.com/office/drawing/2014/main" id="{7C9B9320-F8ED-0F1D-21E5-3C382C17F9C6}"/>
            </a:ext>
          </a:extLst>
        </xdr:cNvPr>
        <xdr:cNvSpPr/>
      </xdr:nvSpPr>
      <xdr:spPr>
        <a:xfrm>
          <a:off x="310116" y="19404420"/>
          <a:ext cx="3650512" cy="2215116"/>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sz="1800" b="1">
              <a:latin typeface="Times New Roman" panose="02020603050405020304" pitchFamily="18" charset="0"/>
              <a:cs typeface="Times New Roman" panose="02020603050405020304" pitchFamily="18" charset="0"/>
            </a:rPr>
            <a:t>                  High Spikes:</a:t>
          </a:r>
        </a:p>
        <a:p>
          <a:endParaRPr lang="en-US" sz="1200" b="1">
            <a:latin typeface="Times New Roman" panose="02020603050405020304" pitchFamily="18" charset="0"/>
            <a:cs typeface="Times New Roman" panose="02020603050405020304" pitchFamily="18" charset="0"/>
          </a:endParaRPr>
        </a:p>
        <a:p>
          <a:pPr marL="171450" indent="-171450">
            <a:buFont typeface="Arial" panose="020B0604020202020204" pitchFamily="34" charset="0"/>
            <a:buChar char="•"/>
          </a:pPr>
          <a:r>
            <a:rPr lang="en-US" sz="1200" b="0">
              <a:latin typeface="Times New Roman" panose="02020603050405020304" pitchFamily="18" charset="0"/>
              <a:cs typeface="Times New Roman" panose="02020603050405020304" pitchFamily="18" charset="0"/>
            </a:rPr>
            <a:t>Spices show the highest spike in Rural (+17.21%), compared to 16.6% in Rural+Urban, indicating stronger price surge in rural markets </a:t>
          </a:r>
        </a:p>
        <a:p>
          <a:pPr marL="171450" indent="-171450">
            <a:buFont typeface="Arial" panose="020B0604020202020204" pitchFamily="34" charset="0"/>
            <a:buChar char="•"/>
          </a:pPr>
          <a:r>
            <a:rPr lang="en-US" sz="1200" b="0">
              <a:latin typeface="Times New Roman" panose="02020603050405020304" pitchFamily="18" charset="0"/>
              <a:cs typeface="Times New Roman" panose="02020603050405020304" pitchFamily="18" charset="0"/>
            </a:rPr>
            <a:t>Cereals increased sharply in Rural (+12.6%), Urban (11–12%), and Rural+Urban (+12.1%), confirming strong inflation in staple food across all sectors </a:t>
          </a:r>
        </a:p>
        <a:p>
          <a:pPr marL="171450" indent="-171450">
            <a:buFont typeface="Arial" panose="020B0604020202020204" pitchFamily="34" charset="0"/>
            <a:buChar char="•"/>
          </a:pPr>
          <a:r>
            <a:rPr lang="en-US" sz="1200" b="0">
              <a:latin typeface="Times New Roman" panose="02020603050405020304" pitchFamily="18" charset="0"/>
              <a:cs typeface="Times New Roman" panose="02020603050405020304" pitchFamily="18" charset="0"/>
            </a:rPr>
            <a:t>Oils &amp; Fats recorded the biggest negative spike, with –18.9% in Rural and –17.2% in Rural+Urban, showing a sharp correction</a:t>
          </a:r>
        </a:p>
        <a:p>
          <a:pPr algn="l"/>
          <a:endParaRPr lang="en-US" sz="1200">
            <a:latin typeface="Times New Roman" panose="02020603050405020304" pitchFamily="18" charset="0"/>
            <a:cs typeface="Times New Roman" panose="02020603050405020304" pitchFamily="18" charset="0"/>
          </a:endParaRPr>
        </a:p>
      </xdr:txBody>
    </xdr:sp>
    <xdr:clientData/>
  </xdr:twoCellAnchor>
  <xdr:twoCellAnchor>
    <xdr:from>
      <xdr:col>6</xdr:col>
      <xdr:colOff>212651</xdr:colOff>
      <xdr:row>97</xdr:row>
      <xdr:rowOff>177208</xdr:rowOff>
    </xdr:from>
    <xdr:to>
      <xdr:col>11</xdr:col>
      <xdr:colOff>26582</xdr:colOff>
      <xdr:row>109</xdr:row>
      <xdr:rowOff>158371</xdr:rowOff>
    </xdr:to>
    <xdr:sp macro="" textlink="">
      <xdr:nvSpPr>
        <xdr:cNvPr id="9" name="Rectangle 8">
          <a:extLst>
            <a:ext uri="{FF2B5EF4-FFF2-40B4-BE49-F238E27FC236}">
              <a16:creationId xmlns:a16="http://schemas.microsoft.com/office/drawing/2014/main" id="{17776CB5-E847-4F05-A0D1-49FB606F2C92}"/>
            </a:ext>
          </a:extLst>
        </xdr:cNvPr>
        <xdr:cNvSpPr/>
      </xdr:nvSpPr>
      <xdr:spPr>
        <a:xfrm>
          <a:off x="4235302" y="19395557"/>
          <a:ext cx="3570768" cy="2214000"/>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sz="1800" b="1"/>
            <a:t>              </a:t>
          </a:r>
          <a:r>
            <a:rPr lang="en-US" sz="1800" b="1">
              <a:latin typeface="Times New Roman" panose="02020603050405020304" pitchFamily="18" charset="0"/>
              <a:cs typeface="Times New Roman" panose="02020603050405020304" pitchFamily="18" charset="0"/>
            </a:rPr>
            <a:t>Consistent Rises:</a:t>
          </a:r>
        </a:p>
        <a:p>
          <a:endParaRPr lang="en-US" b="1"/>
        </a:p>
        <a:p>
          <a:pPr marL="171450" indent="-171450">
            <a:buFont typeface="Arial" panose="020B0604020202020204" pitchFamily="34" charset="0"/>
            <a:buChar char="•"/>
          </a:pPr>
          <a:r>
            <a:rPr lang="en-US" sz="1200" b="1">
              <a:latin typeface="Times New Roman" panose="02020603050405020304" pitchFamily="18" charset="0"/>
              <a:cs typeface="Times New Roman" panose="02020603050405020304" pitchFamily="18" charset="0"/>
            </a:rPr>
            <a:t>Milk increased steadily across sectors</a:t>
          </a:r>
          <a:r>
            <a:rPr lang="en-US" sz="1200">
              <a:latin typeface="Times New Roman" panose="02020603050405020304" pitchFamily="18" charset="0"/>
              <a:cs typeface="Times New Roman" panose="02020603050405020304" pitchFamily="18" charset="0"/>
            </a:rPr>
            <a:t> — around </a:t>
          </a:r>
          <a:r>
            <a:rPr lang="en-US" sz="1200" b="1">
              <a:latin typeface="Times New Roman" panose="02020603050405020304" pitchFamily="18" charset="0"/>
              <a:cs typeface="Times New Roman" panose="02020603050405020304" pitchFamily="18" charset="0"/>
            </a:rPr>
            <a:t>+8–9% (Rural), ~+8% (Urban), and +8.5% (Rural+Urban)</a:t>
          </a:r>
          <a:r>
            <a:rPr lang="en-US" sz="1200">
              <a:latin typeface="Times New Roman" panose="02020603050405020304" pitchFamily="18" charset="0"/>
              <a:cs typeface="Times New Roman" panose="02020603050405020304" pitchFamily="18" charset="0"/>
            </a:rPr>
            <a:t>, indicating sustained inflation </a:t>
          </a:r>
        </a:p>
        <a:p>
          <a:pPr marL="171450" indent="-171450">
            <a:buFont typeface="Arial" panose="020B0604020202020204" pitchFamily="34" charset="0"/>
            <a:buChar char="•"/>
          </a:pPr>
          <a:r>
            <a:rPr lang="en-US" sz="1200" b="1">
              <a:latin typeface="Times New Roman" panose="02020603050405020304" pitchFamily="18" charset="0"/>
              <a:cs typeface="Times New Roman" panose="02020603050405020304" pitchFamily="18" charset="0"/>
            </a:rPr>
            <a:t>Eggs also show consistent rise</a:t>
          </a:r>
          <a:r>
            <a:rPr lang="en-US" sz="1200">
              <a:latin typeface="Times New Roman" panose="02020603050405020304" pitchFamily="18" charset="0"/>
              <a:cs typeface="Times New Roman" panose="02020603050405020304" pitchFamily="18" charset="0"/>
            </a:rPr>
            <a:t>, with </a:t>
          </a:r>
          <a:r>
            <a:rPr lang="en-US" sz="1200" b="1">
              <a:latin typeface="Times New Roman" panose="02020603050405020304" pitchFamily="18" charset="0"/>
              <a:cs typeface="Times New Roman" panose="02020603050405020304" pitchFamily="18" charset="0"/>
            </a:rPr>
            <a:t>~+7–8% across all three sectors</a:t>
          </a:r>
          <a:r>
            <a:rPr lang="en-US" sz="1200">
              <a:latin typeface="Times New Roman" panose="02020603050405020304" pitchFamily="18" charset="0"/>
              <a:cs typeface="Times New Roman" panose="02020603050405020304" pitchFamily="18" charset="0"/>
            </a:rPr>
            <a:t>, contributing to continuous price pressure </a:t>
          </a:r>
        </a:p>
        <a:p>
          <a:pPr marL="171450" indent="-171450">
            <a:buFont typeface="Arial" panose="020B0604020202020204" pitchFamily="34" charset="0"/>
            <a:buChar char="•"/>
          </a:pPr>
          <a:r>
            <a:rPr lang="en-US" sz="1200" b="1">
              <a:latin typeface="Times New Roman" panose="02020603050405020304" pitchFamily="18" charset="0"/>
              <a:cs typeface="Times New Roman" panose="02020603050405020304" pitchFamily="18" charset="0"/>
            </a:rPr>
            <a:t>Pulses (~+6–7%) across sectors</a:t>
          </a:r>
          <a:r>
            <a:rPr lang="en-US" sz="1200">
              <a:latin typeface="Times New Roman" panose="02020603050405020304" pitchFamily="18" charset="0"/>
              <a:cs typeface="Times New Roman" panose="02020603050405020304" pitchFamily="18" charset="0"/>
            </a:rPr>
            <a:t> reflect moderate but stable upward movement</a:t>
          </a:r>
        </a:p>
        <a:p>
          <a:pPr algn="l"/>
          <a:endParaRPr lang="en-US" sz="1100"/>
        </a:p>
      </xdr:txBody>
    </xdr:sp>
    <xdr:clientData/>
  </xdr:twoCellAnchor>
  <xdr:twoCellAnchor>
    <xdr:from>
      <xdr:col>11</xdr:col>
      <xdr:colOff>372139</xdr:colOff>
      <xdr:row>97</xdr:row>
      <xdr:rowOff>186068</xdr:rowOff>
    </xdr:from>
    <xdr:to>
      <xdr:col>16</xdr:col>
      <xdr:colOff>381000</xdr:colOff>
      <xdr:row>109</xdr:row>
      <xdr:rowOff>167231</xdr:rowOff>
    </xdr:to>
    <xdr:sp macro="" textlink="">
      <xdr:nvSpPr>
        <xdr:cNvPr id="15" name="Rectangle 14">
          <a:extLst>
            <a:ext uri="{FF2B5EF4-FFF2-40B4-BE49-F238E27FC236}">
              <a16:creationId xmlns:a16="http://schemas.microsoft.com/office/drawing/2014/main" id="{DD6DF97D-648B-4EAC-B14D-6D03D7E26340}"/>
            </a:ext>
          </a:extLst>
        </xdr:cNvPr>
        <xdr:cNvSpPr/>
      </xdr:nvSpPr>
      <xdr:spPr>
        <a:xfrm>
          <a:off x="8151627" y="19404417"/>
          <a:ext cx="3570768" cy="2214000"/>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sz="1800" b="1">
              <a:latin typeface="Times New Roman" panose="02020603050405020304" pitchFamily="18" charset="0"/>
              <a:cs typeface="Times New Roman" panose="02020603050405020304" pitchFamily="18" charset="0"/>
            </a:rPr>
            <a:t>               Falling Prices:</a:t>
          </a:r>
        </a:p>
        <a:p>
          <a:endParaRPr lang="en-US" sz="1200" b="1">
            <a:latin typeface="Times New Roman" panose="02020603050405020304" pitchFamily="18" charset="0"/>
            <a:cs typeface="Times New Roman" panose="02020603050405020304" pitchFamily="18" charset="0"/>
          </a:endParaRPr>
        </a:p>
        <a:p>
          <a:pPr marL="171450" indent="-171450">
            <a:buFont typeface="Arial" panose="020B0604020202020204" pitchFamily="34" charset="0"/>
            <a:buChar char="•"/>
          </a:pPr>
          <a:r>
            <a:rPr lang="en-US" sz="1200" b="1">
              <a:latin typeface="Times New Roman" panose="02020603050405020304" pitchFamily="18" charset="0"/>
              <a:cs typeface="Times New Roman" panose="02020603050405020304" pitchFamily="18" charset="0"/>
            </a:rPr>
            <a:t>Vegetables declined across sectors</a:t>
          </a:r>
          <a:r>
            <a:rPr lang="en-US" sz="1200">
              <a:latin typeface="Times New Roman" panose="02020603050405020304" pitchFamily="18" charset="0"/>
              <a:cs typeface="Times New Roman" panose="02020603050405020304" pitchFamily="18" charset="0"/>
            </a:rPr>
            <a:t>, with </a:t>
          </a:r>
          <a:r>
            <a:rPr lang="en-US" sz="1200" b="1">
              <a:latin typeface="Times New Roman" panose="02020603050405020304" pitchFamily="18" charset="0"/>
              <a:cs typeface="Times New Roman" panose="02020603050405020304" pitchFamily="18" charset="0"/>
            </a:rPr>
            <a:t>–7% in Rural+Urban and similar negative trend in Rural and Urban</a:t>
          </a:r>
          <a:r>
            <a:rPr lang="en-US" sz="1200">
              <a:latin typeface="Times New Roman" panose="02020603050405020304" pitchFamily="18" charset="0"/>
              <a:cs typeface="Times New Roman" panose="02020603050405020304" pitchFamily="18" charset="0"/>
            </a:rPr>
            <a:t>, helping offset inflation </a:t>
          </a:r>
        </a:p>
        <a:p>
          <a:pPr marL="171450" indent="-171450">
            <a:buFont typeface="Arial" panose="020B0604020202020204" pitchFamily="34" charset="0"/>
            <a:buChar char="•"/>
          </a:pPr>
          <a:r>
            <a:rPr lang="en-US" sz="1200" b="1">
              <a:latin typeface="Times New Roman" panose="02020603050405020304" pitchFamily="18" charset="0"/>
              <a:cs typeface="Times New Roman" panose="02020603050405020304" pitchFamily="18" charset="0"/>
            </a:rPr>
            <a:t>Meat &amp; Fish remained slightly negative (–1% in Rural+Urban)</a:t>
          </a:r>
          <a:r>
            <a:rPr lang="en-US" sz="1200">
              <a:latin typeface="Times New Roman" panose="02020603050405020304" pitchFamily="18" charset="0"/>
              <a:cs typeface="Times New Roman" panose="02020603050405020304" pitchFamily="18" charset="0"/>
            </a:rPr>
            <a:t> with minor variation across sectors </a:t>
          </a:r>
        </a:p>
        <a:p>
          <a:pPr marL="171450" indent="-171450">
            <a:buFont typeface="Arial" panose="020B0604020202020204" pitchFamily="34" charset="0"/>
            <a:buChar char="•"/>
          </a:pPr>
          <a:r>
            <a:rPr lang="en-US" sz="1200" b="1">
              <a:latin typeface="Times New Roman" panose="02020603050405020304" pitchFamily="18" charset="0"/>
              <a:cs typeface="Times New Roman" panose="02020603050405020304" pitchFamily="18" charset="0"/>
            </a:rPr>
            <a:t>Oils &amp; Fats remained consistently negative across all sectors</a:t>
          </a:r>
          <a:r>
            <a:rPr lang="en-US" sz="1200">
              <a:latin typeface="Times New Roman" panose="02020603050405020304" pitchFamily="18" charset="0"/>
              <a:cs typeface="Times New Roman" panose="02020603050405020304" pitchFamily="18" charset="0"/>
            </a:rPr>
            <a:t>, with the steepest fall in Rural (–18.9%)</a:t>
          </a:r>
        </a:p>
        <a:p>
          <a:pPr algn="l"/>
          <a:endParaRPr lang="en-US" sz="1100"/>
        </a:p>
      </xdr:txBody>
    </xdr:sp>
    <xdr:clientData/>
  </xdr:twoCellAnchor>
  <xdr:twoCellAnchor>
    <xdr:from>
      <xdr:col>16</xdr:col>
      <xdr:colOff>726559</xdr:colOff>
      <xdr:row>97</xdr:row>
      <xdr:rowOff>168348</xdr:rowOff>
    </xdr:from>
    <xdr:to>
      <xdr:col>22</xdr:col>
      <xdr:colOff>354420</xdr:colOff>
      <xdr:row>109</xdr:row>
      <xdr:rowOff>149511</xdr:rowOff>
    </xdr:to>
    <xdr:sp macro="" textlink="">
      <xdr:nvSpPr>
        <xdr:cNvPr id="19" name="Rectangle 18">
          <a:extLst>
            <a:ext uri="{FF2B5EF4-FFF2-40B4-BE49-F238E27FC236}">
              <a16:creationId xmlns:a16="http://schemas.microsoft.com/office/drawing/2014/main" id="{B0D80657-6DF6-4B62-88B8-16107C923D97}"/>
            </a:ext>
          </a:extLst>
        </xdr:cNvPr>
        <xdr:cNvSpPr/>
      </xdr:nvSpPr>
      <xdr:spPr>
        <a:xfrm>
          <a:off x="12067954" y="19386697"/>
          <a:ext cx="3570768" cy="2214000"/>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sz="1800" b="1">
              <a:latin typeface="Times New Roman" panose="02020603050405020304" pitchFamily="18" charset="0"/>
              <a:cs typeface="Times New Roman" panose="02020603050405020304" pitchFamily="18" charset="0"/>
            </a:rPr>
            <a:t>           </a:t>
          </a:r>
          <a:r>
            <a:rPr lang="en-US" sz="1800" b="1">
              <a:solidFill>
                <a:schemeClr val="lt1"/>
              </a:solidFill>
              <a:latin typeface="Times New Roman" panose="02020603050405020304" pitchFamily="18" charset="0"/>
              <a:ea typeface="+mn-ea"/>
              <a:cs typeface="Times New Roman" panose="02020603050405020304" pitchFamily="18" charset="0"/>
            </a:rPr>
            <a:t>Cross-Sector</a:t>
          </a:r>
          <a:r>
            <a:rPr lang="en-US" sz="1800" b="1">
              <a:latin typeface="Times New Roman" panose="02020603050405020304" pitchFamily="18" charset="0"/>
              <a:cs typeface="Times New Roman" panose="02020603050405020304" pitchFamily="18" charset="0"/>
            </a:rPr>
            <a:t> </a:t>
          </a:r>
          <a:r>
            <a:rPr lang="en-US" sz="1800" b="1">
              <a:solidFill>
                <a:schemeClr val="lt1"/>
              </a:solidFill>
              <a:latin typeface="Times New Roman" panose="02020603050405020304" pitchFamily="18" charset="0"/>
              <a:ea typeface="+mn-ea"/>
              <a:cs typeface="Times New Roman" panose="02020603050405020304" pitchFamily="18" charset="0"/>
            </a:rPr>
            <a:t>Insight</a:t>
          </a:r>
          <a:r>
            <a:rPr lang="en-US" sz="1800" b="1">
              <a:latin typeface="Times New Roman" panose="02020603050405020304" pitchFamily="18" charset="0"/>
              <a:cs typeface="Times New Roman" panose="02020603050405020304" pitchFamily="18" charset="0"/>
            </a:rPr>
            <a:t>:</a:t>
          </a:r>
        </a:p>
        <a:p>
          <a:endParaRPr lang="en-US" sz="1800" b="1">
            <a:latin typeface="Times New Roman" panose="02020603050405020304" pitchFamily="18" charset="0"/>
            <a:cs typeface="Times New Roman" panose="02020603050405020304" pitchFamily="18" charset="0"/>
          </a:endParaRPr>
        </a:p>
        <a:p>
          <a:pPr marL="171450" indent="-171450">
            <a:buFont typeface="Arial" panose="020B0604020202020204" pitchFamily="34" charset="0"/>
            <a:buChar char="•"/>
          </a:pPr>
          <a:r>
            <a:rPr lang="en-US" sz="1200" b="1"/>
            <a:t>Rural shows higher volatility (e.g., +17.21% spices vs 16.6% overall, –18.9% oils vs –17.2%)</a:t>
          </a:r>
          <a:r>
            <a:rPr lang="en-US" sz="1200"/>
            <a:t>, indicating sharper price swings. </a:t>
          </a:r>
        </a:p>
        <a:p>
          <a:pPr marL="171450" indent="-171450">
            <a:buFont typeface="Arial" panose="020B0604020202020204" pitchFamily="34" charset="0"/>
            <a:buChar char="•"/>
          </a:pPr>
          <a:r>
            <a:rPr lang="en-US" sz="1200" b="1"/>
            <a:t>Urban remains relatively moderate</a:t>
          </a:r>
          <a:r>
            <a:rPr lang="en-US" sz="1200"/>
            <a:t>, with slightly lower fluctuations across most categories</a:t>
          </a:r>
        </a:p>
        <a:p>
          <a:pPr marL="171450" indent="-171450">
            <a:buFont typeface="Arial" panose="020B0604020202020204" pitchFamily="34" charset="0"/>
            <a:buChar char="•"/>
          </a:pPr>
          <a:r>
            <a:rPr lang="en-US" sz="1200" b="1"/>
            <a:t>Rural+Urban reflects a smoothed trend</a:t>
          </a:r>
          <a:r>
            <a:rPr lang="en-US" sz="1200"/>
            <a:t>, balancing extreme movements from both sectors</a:t>
          </a:r>
          <a:endParaRPr lang="en-US" sz="1100"/>
        </a:p>
      </xdr:txBody>
    </xdr:sp>
    <xdr:clientData/>
  </xdr:twoCellAnchor>
  <xdr:twoCellAnchor>
    <xdr:from>
      <xdr:col>15</xdr:col>
      <xdr:colOff>719790</xdr:colOff>
      <xdr:row>110</xdr:row>
      <xdr:rowOff>176562</xdr:rowOff>
    </xdr:from>
    <xdr:to>
      <xdr:col>23</xdr:col>
      <xdr:colOff>351448</xdr:colOff>
      <xdr:row>126</xdr:row>
      <xdr:rowOff>185591</xdr:rowOff>
    </xdr:to>
    <xdr:graphicFrame macro="">
      <xdr:nvGraphicFramePr>
        <xdr:cNvPr id="25" name="Chart 24">
          <a:extLst>
            <a:ext uri="{FF2B5EF4-FFF2-40B4-BE49-F238E27FC236}">
              <a16:creationId xmlns:a16="http://schemas.microsoft.com/office/drawing/2014/main" id="{896D2650-ACB8-461C-979E-A6D626B33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61474</xdr:colOff>
      <xdr:row>111</xdr:row>
      <xdr:rowOff>9293</xdr:rowOff>
    </xdr:from>
    <xdr:to>
      <xdr:col>15</xdr:col>
      <xdr:colOff>111303</xdr:colOff>
      <xdr:row>127</xdr:row>
      <xdr:rowOff>46545</xdr:rowOff>
    </xdr:to>
    <xdr:graphicFrame macro="">
      <xdr:nvGraphicFramePr>
        <xdr:cNvPr id="26" name="Chart 25">
          <a:extLst>
            <a:ext uri="{FF2B5EF4-FFF2-40B4-BE49-F238E27FC236}">
              <a16:creationId xmlns:a16="http://schemas.microsoft.com/office/drawing/2014/main" id="{AB726F86-E664-4C35-9AC4-BC54B4F56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111</xdr:row>
      <xdr:rowOff>9408</xdr:rowOff>
    </xdr:from>
    <xdr:to>
      <xdr:col>7</xdr:col>
      <xdr:colOff>124171</xdr:colOff>
      <xdr:row>127</xdr:row>
      <xdr:rowOff>37252</xdr:rowOff>
    </xdr:to>
    <xdr:graphicFrame macro="">
      <xdr:nvGraphicFramePr>
        <xdr:cNvPr id="27" name="Chart 26">
          <a:extLst>
            <a:ext uri="{FF2B5EF4-FFF2-40B4-BE49-F238E27FC236}">
              <a16:creationId xmlns:a16="http://schemas.microsoft.com/office/drawing/2014/main" id="{782CBC7B-D66A-4480-A344-7CA332E4D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185854</xdr:colOff>
      <xdr:row>137</xdr:row>
      <xdr:rowOff>176560</xdr:rowOff>
    </xdr:from>
    <xdr:to>
      <xdr:col>10</xdr:col>
      <xdr:colOff>845635</xdr:colOff>
      <xdr:row>147</xdr:row>
      <xdr:rowOff>118024</xdr:rowOff>
    </xdr:to>
    <xdr:sp macro="" textlink="">
      <xdr:nvSpPr>
        <xdr:cNvPr id="30" name="Rectangle: Rounded Corners 29">
          <a:extLst>
            <a:ext uri="{FF2B5EF4-FFF2-40B4-BE49-F238E27FC236}">
              <a16:creationId xmlns:a16="http://schemas.microsoft.com/office/drawing/2014/main" id="{E359F67E-E3D4-4AAF-AFEA-4D16BA19B6F4}"/>
            </a:ext>
          </a:extLst>
        </xdr:cNvPr>
        <xdr:cNvSpPr/>
      </xdr:nvSpPr>
      <xdr:spPr>
        <a:xfrm>
          <a:off x="185854" y="26790804"/>
          <a:ext cx="7415561" cy="18000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Times New Roman" panose="02020603050405020304" pitchFamily="18" charset="0"/>
              <a:cs typeface="Times New Roman" panose="02020603050405020304" pitchFamily="18" charset="0"/>
            </a:rPr>
            <a:t>The onset of COVID-19 led to a structural shift in inflation patterns across Rural, Urban, and combined CPI, where food inflation spiked sharply due to supply chain disruptions, while healthcare and essential services initially saw a dip during lockdowns due to reduced consumption. As the economy reopened, demand recovery and rising healthcare costs drove a sustained increase in inflation, indicating a clear transition from supply-shock-driven inflation during COVID to demand- and cost-push inflation in the post-COVID period.</a:t>
          </a:r>
        </a:p>
      </xdr:txBody>
    </xdr:sp>
    <xdr:clientData/>
  </xdr:twoCellAnchor>
  <xdr:twoCellAnchor>
    <xdr:from>
      <xdr:col>10</xdr:col>
      <xdr:colOff>975732</xdr:colOff>
      <xdr:row>140</xdr:row>
      <xdr:rowOff>74341</xdr:rowOff>
    </xdr:from>
    <xdr:to>
      <xdr:col>15</xdr:col>
      <xdr:colOff>139391</xdr:colOff>
      <xdr:row>147</xdr:row>
      <xdr:rowOff>130098</xdr:rowOff>
    </xdr:to>
    <xdr:sp macro="" textlink="">
      <xdr:nvSpPr>
        <xdr:cNvPr id="31" name="Arrow: Pentagon 30">
          <a:extLst>
            <a:ext uri="{FF2B5EF4-FFF2-40B4-BE49-F238E27FC236}">
              <a16:creationId xmlns:a16="http://schemas.microsoft.com/office/drawing/2014/main" id="{02861D17-9562-5731-EE70-C809A6E7D0FA}"/>
            </a:ext>
          </a:extLst>
        </xdr:cNvPr>
        <xdr:cNvSpPr/>
      </xdr:nvSpPr>
      <xdr:spPr>
        <a:xfrm>
          <a:off x="7731512" y="27246146"/>
          <a:ext cx="2927196" cy="1356732"/>
        </a:xfrm>
        <a:prstGeom prst="homePlate">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171450" indent="-171450" algn="l">
            <a:buFont typeface="Arial" panose="020B0604020202020204" pitchFamily="34" charset="0"/>
            <a:buChar char="•"/>
          </a:pPr>
          <a:r>
            <a:rPr lang="en-US" sz="1200" b="1">
              <a:solidFill>
                <a:schemeClr val="bg1"/>
              </a:solidFill>
            </a:rPr>
            <a:t>Rural: 1% → 7% </a:t>
          </a:r>
        </a:p>
        <a:p>
          <a:pPr marL="171450" indent="-171450" algn="l">
            <a:buFont typeface="Arial" panose="020B0604020202020204" pitchFamily="34" charset="0"/>
            <a:buChar char="•"/>
          </a:pPr>
          <a:r>
            <a:rPr lang="en-US" sz="1200" b="1">
              <a:solidFill>
                <a:schemeClr val="bg1"/>
              </a:solidFill>
            </a:rPr>
            <a:t>Urban: 2% → 7% </a:t>
          </a:r>
        </a:p>
        <a:p>
          <a:pPr marL="171450" indent="-171450" algn="l">
            <a:buFont typeface="Arial" panose="020B0604020202020204" pitchFamily="34" charset="0"/>
            <a:buChar char="•"/>
          </a:pPr>
          <a:r>
            <a:rPr lang="en-US" sz="1200" b="1">
              <a:solidFill>
                <a:schemeClr val="bg1"/>
              </a:solidFill>
            </a:rPr>
            <a:t>Rural+Urban: 2% → 7%</a:t>
          </a:r>
          <a:r>
            <a:rPr lang="en-US" sz="1200" b="1" baseline="0">
              <a:solidFill>
                <a:schemeClr val="bg1"/>
              </a:solidFill>
            </a:rPr>
            <a:t>                       </a:t>
          </a:r>
          <a:r>
            <a:rPr lang="en-US" sz="1200" b="1">
              <a:solidFill>
                <a:schemeClr val="bg1"/>
              </a:solidFill>
              <a:latin typeface="Times New Roman" panose="02020603050405020304" pitchFamily="18" charset="0"/>
              <a:cs typeface="Times New Roman" panose="02020603050405020304" pitchFamily="18" charset="0"/>
            </a:rPr>
            <a:t>due to supply disruptions. </a:t>
          </a:r>
        </a:p>
        <a:p>
          <a:pPr algn="l"/>
          <a:r>
            <a:rPr lang="en-US" sz="1200" b="1">
              <a:solidFill>
                <a:schemeClr val="bg1"/>
              </a:solidFill>
              <a:latin typeface="Times New Roman" panose="02020603050405020304" pitchFamily="18" charset="0"/>
              <a:cs typeface="Times New Roman" panose="02020603050405020304" pitchFamily="18" charset="0"/>
            </a:rPr>
            <a:t>Remained elevated post-COVID (7–8%), indicating persistent pressure on essential commodities.</a:t>
          </a:r>
        </a:p>
      </xdr:txBody>
    </xdr:sp>
    <xdr:clientData/>
  </xdr:twoCellAnchor>
  <xdr:twoCellAnchor>
    <xdr:from>
      <xdr:col>14</xdr:col>
      <xdr:colOff>297364</xdr:colOff>
      <xdr:row>140</xdr:row>
      <xdr:rowOff>46464</xdr:rowOff>
    </xdr:from>
    <xdr:to>
      <xdr:col>19</xdr:col>
      <xdr:colOff>37170</xdr:colOff>
      <xdr:row>147</xdr:row>
      <xdr:rowOff>139391</xdr:rowOff>
    </xdr:to>
    <xdr:sp macro="" textlink="">
      <xdr:nvSpPr>
        <xdr:cNvPr id="32" name="Arrow: Chevron 31">
          <a:extLst>
            <a:ext uri="{FF2B5EF4-FFF2-40B4-BE49-F238E27FC236}">
              <a16:creationId xmlns:a16="http://schemas.microsoft.com/office/drawing/2014/main" id="{91DFF104-942E-DC23-89B4-230CB470FA99}"/>
            </a:ext>
          </a:extLst>
        </xdr:cNvPr>
        <xdr:cNvSpPr/>
      </xdr:nvSpPr>
      <xdr:spPr>
        <a:xfrm>
          <a:off x="10203364" y="27218269"/>
          <a:ext cx="3308196" cy="1393902"/>
        </a:xfrm>
        <a:prstGeom prst="chevron">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200" b="1">
              <a:solidFill>
                <a:schemeClr val="bg1"/>
              </a:solidFill>
              <a:latin typeface="Times New Roman" panose="02020603050405020304" pitchFamily="18" charset="0"/>
              <a:cs typeface="Times New Roman" panose="02020603050405020304" pitchFamily="18" charset="0"/>
            </a:rPr>
            <a:t>Declined during COVID   (6–7% → 4%) due to reduced access/utilization. Strong rebound post-COVID (Urban up to 8%) driven by demand surge and rising costs.</a:t>
          </a:r>
        </a:p>
      </xdr:txBody>
    </xdr:sp>
    <xdr:clientData/>
  </xdr:twoCellAnchor>
  <xdr:twoCellAnchor>
    <xdr:from>
      <xdr:col>18</xdr:col>
      <xdr:colOff>250902</xdr:colOff>
      <xdr:row>140</xdr:row>
      <xdr:rowOff>46463</xdr:rowOff>
    </xdr:from>
    <xdr:to>
      <xdr:col>23</xdr:col>
      <xdr:colOff>492512</xdr:colOff>
      <xdr:row>147</xdr:row>
      <xdr:rowOff>139390</xdr:rowOff>
    </xdr:to>
    <xdr:sp macro="" textlink="">
      <xdr:nvSpPr>
        <xdr:cNvPr id="33" name="Arrow: Chevron 32">
          <a:extLst>
            <a:ext uri="{FF2B5EF4-FFF2-40B4-BE49-F238E27FC236}">
              <a16:creationId xmlns:a16="http://schemas.microsoft.com/office/drawing/2014/main" id="{5D156A16-9AA9-40A2-B1FA-D44F34217608}"/>
            </a:ext>
          </a:extLst>
        </xdr:cNvPr>
        <xdr:cNvSpPr/>
      </xdr:nvSpPr>
      <xdr:spPr>
        <a:xfrm>
          <a:off x="13111975" y="27218268"/>
          <a:ext cx="3308196" cy="1393902"/>
        </a:xfrm>
        <a:prstGeom prst="chevron">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200" b="1">
              <a:latin typeface="Times New Roman" panose="02020603050405020304" pitchFamily="18" charset="0"/>
              <a:cs typeface="Times New Roman" panose="02020603050405020304" pitchFamily="18" charset="0"/>
            </a:rPr>
            <a:t>Declined during COVID   (6–7% → 4%) due to reduced access/utilization. Strong rebound post-COVID (Urban up to 8%) driven by demand surge and rising costs.</a:t>
          </a:r>
          <a:endParaRPr lang="en-US" sz="1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1003609</xdr:colOff>
      <xdr:row>139</xdr:row>
      <xdr:rowOff>1</xdr:rowOff>
    </xdr:from>
    <xdr:to>
      <xdr:col>14</xdr:col>
      <xdr:colOff>74342</xdr:colOff>
      <xdr:row>140</xdr:row>
      <xdr:rowOff>46463</xdr:rowOff>
    </xdr:to>
    <xdr:sp macro="" textlink="">
      <xdr:nvSpPr>
        <xdr:cNvPr id="34" name="Rectangle 33">
          <a:extLst>
            <a:ext uri="{FF2B5EF4-FFF2-40B4-BE49-F238E27FC236}">
              <a16:creationId xmlns:a16="http://schemas.microsoft.com/office/drawing/2014/main" id="{FD151A22-5119-3936-18C5-737A3B22A0E6}"/>
            </a:ext>
          </a:extLst>
        </xdr:cNvPr>
        <xdr:cNvSpPr/>
      </xdr:nvSpPr>
      <xdr:spPr>
        <a:xfrm>
          <a:off x="7759389" y="26985952"/>
          <a:ext cx="2220953" cy="23231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lt1"/>
              </a:solidFill>
              <a:latin typeface="Times New Roman" panose="02020603050405020304" pitchFamily="18" charset="0"/>
              <a:ea typeface="+mn-ea"/>
              <a:cs typeface="Times New Roman" panose="02020603050405020304" pitchFamily="18" charset="0"/>
            </a:rPr>
            <a:t>Food</a:t>
          </a:r>
          <a:r>
            <a:rPr lang="en-US" sz="1200" b="1"/>
            <a:t> </a:t>
          </a:r>
          <a:r>
            <a:rPr lang="en-US" sz="1400" b="1">
              <a:latin typeface="Times New Roman" panose="02020603050405020304" pitchFamily="18" charset="0"/>
              <a:cs typeface="Times New Roman" panose="02020603050405020304" pitchFamily="18" charset="0"/>
            </a:rPr>
            <a:t>Inflation</a:t>
          </a:r>
          <a:r>
            <a:rPr lang="en-US" sz="1200" b="1"/>
            <a:t> </a:t>
          </a:r>
        </a:p>
      </xdr:txBody>
    </xdr:sp>
    <xdr:clientData/>
  </xdr:twoCellAnchor>
  <xdr:twoCellAnchor>
    <xdr:from>
      <xdr:col>14</xdr:col>
      <xdr:colOff>473928</xdr:colOff>
      <xdr:row>138</xdr:row>
      <xdr:rowOff>157975</xdr:rowOff>
    </xdr:from>
    <xdr:to>
      <xdr:col>17</xdr:col>
      <xdr:colOff>353125</xdr:colOff>
      <xdr:row>140</xdr:row>
      <xdr:rowOff>18584</xdr:rowOff>
    </xdr:to>
    <xdr:sp macro="" textlink="">
      <xdr:nvSpPr>
        <xdr:cNvPr id="35" name="Rectangle 34">
          <a:extLst>
            <a:ext uri="{FF2B5EF4-FFF2-40B4-BE49-F238E27FC236}">
              <a16:creationId xmlns:a16="http://schemas.microsoft.com/office/drawing/2014/main" id="{6F58BE2C-306A-4806-9FF9-8BA638974362}"/>
            </a:ext>
          </a:extLst>
        </xdr:cNvPr>
        <xdr:cNvSpPr/>
      </xdr:nvSpPr>
      <xdr:spPr>
        <a:xfrm>
          <a:off x="10379928" y="26958073"/>
          <a:ext cx="2220953" cy="232316"/>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lt1"/>
              </a:solidFill>
              <a:latin typeface="Times New Roman" panose="02020603050405020304" pitchFamily="18" charset="0"/>
              <a:ea typeface="+mn-ea"/>
              <a:cs typeface="Times New Roman" panose="02020603050405020304" pitchFamily="18" charset="0"/>
            </a:rPr>
            <a:t>Healthcare</a:t>
          </a:r>
          <a:r>
            <a:rPr lang="en-US" sz="1400">
              <a:latin typeface="Times New Roman" panose="02020603050405020304" pitchFamily="18" charset="0"/>
              <a:cs typeface="Times New Roman" panose="02020603050405020304" pitchFamily="18" charset="0"/>
            </a:rPr>
            <a:t> </a:t>
          </a:r>
          <a:r>
            <a:rPr lang="en-US" sz="1400" b="1">
              <a:solidFill>
                <a:schemeClr val="lt1"/>
              </a:solidFill>
              <a:latin typeface="Times New Roman" panose="02020603050405020304" pitchFamily="18" charset="0"/>
              <a:ea typeface="+mn-ea"/>
              <a:cs typeface="Times New Roman" panose="02020603050405020304" pitchFamily="18" charset="0"/>
            </a:rPr>
            <a:t>Inflation</a:t>
          </a:r>
        </a:p>
      </xdr:txBody>
    </xdr:sp>
    <xdr:clientData/>
  </xdr:twoCellAnchor>
  <xdr:twoCellAnchor>
    <xdr:from>
      <xdr:col>18</xdr:col>
      <xdr:colOff>501805</xdr:colOff>
      <xdr:row>138</xdr:row>
      <xdr:rowOff>148682</xdr:rowOff>
    </xdr:from>
    <xdr:to>
      <xdr:col>22</xdr:col>
      <xdr:colOff>269490</xdr:colOff>
      <xdr:row>140</xdr:row>
      <xdr:rowOff>9291</xdr:rowOff>
    </xdr:to>
    <xdr:sp macro="" textlink="">
      <xdr:nvSpPr>
        <xdr:cNvPr id="36" name="Rectangle 35">
          <a:extLst>
            <a:ext uri="{FF2B5EF4-FFF2-40B4-BE49-F238E27FC236}">
              <a16:creationId xmlns:a16="http://schemas.microsoft.com/office/drawing/2014/main" id="{6B11A3B4-3132-407D-9BAD-2A1C445401B9}"/>
            </a:ext>
          </a:extLst>
        </xdr:cNvPr>
        <xdr:cNvSpPr/>
      </xdr:nvSpPr>
      <xdr:spPr>
        <a:xfrm>
          <a:off x="13362878" y="26948780"/>
          <a:ext cx="2220953" cy="232316"/>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Times New Roman" panose="02020603050405020304" pitchFamily="18" charset="0"/>
              <a:cs typeface="Times New Roman" panose="02020603050405020304" pitchFamily="18" charset="0"/>
            </a:rPr>
            <a:t>Essential Services</a:t>
          </a:r>
        </a:p>
      </xdr:txBody>
    </xdr:sp>
    <xdr:clientData/>
  </xdr:twoCellAnchor>
  <xdr:twoCellAnchor>
    <xdr:from>
      <xdr:col>6</xdr:col>
      <xdr:colOff>724829</xdr:colOff>
      <xdr:row>164</xdr:row>
      <xdr:rowOff>157975</xdr:rowOff>
    </xdr:from>
    <xdr:to>
      <xdr:col>16</xdr:col>
      <xdr:colOff>762001</xdr:colOff>
      <xdr:row>172</xdr:row>
      <xdr:rowOff>37171</xdr:rowOff>
    </xdr:to>
    <xdr:sp macro="" textlink="">
      <xdr:nvSpPr>
        <xdr:cNvPr id="38" name="Rectangle: Rounded Corners 37">
          <a:extLst>
            <a:ext uri="{FF2B5EF4-FFF2-40B4-BE49-F238E27FC236}">
              <a16:creationId xmlns:a16="http://schemas.microsoft.com/office/drawing/2014/main" id="{32FB3450-86F2-4C15-BF08-6367923CC125}"/>
            </a:ext>
          </a:extLst>
        </xdr:cNvPr>
        <xdr:cNvSpPr/>
      </xdr:nvSpPr>
      <xdr:spPr>
        <a:xfrm>
          <a:off x="4757853" y="31790268"/>
          <a:ext cx="7369099" cy="13660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baseline="0"/>
            <a:t>                                                                        </a:t>
          </a:r>
          <a:r>
            <a:rPr lang="en-US" sz="1600" b="1"/>
            <a:t>Sharp Business Insights </a:t>
          </a:r>
        </a:p>
        <a:p>
          <a:pPr marL="171450" indent="-171450">
            <a:buFont typeface="Arial" panose="020B0604020202020204" pitchFamily="34" charset="0"/>
            <a:buChar char="•"/>
          </a:pPr>
          <a:r>
            <a:rPr lang="en-US" sz="1200" b="1">
              <a:latin typeface="Times New Roman" panose="02020603050405020304" pitchFamily="18" charset="0"/>
              <a:cs typeface="Times New Roman" panose="02020603050405020304" pitchFamily="18" charset="0"/>
            </a:rPr>
            <a:t>Food inflation surged during COVID across all sectors (2% → 7%), confirming supply-side disruption. </a:t>
          </a:r>
        </a:p>
        <a:p>
          <a:pPr marL="171450" indent="-171450">
            <a:buFont typeface="Arial" panose="020B0604020202020204" pitchFamily="34" charset="0"/>
            <a:buChar char="•"/>
          </a:pPr>
          <a:r>
            <a:rPr lang="en-US" sz="1200" b="1">
              <a:latin typeface="Times New Roman" panose="02020603050405020304" pitchFamily="18" charset="0"/>
              <a:cs typeface="Times New Roman" panose="02020603050405020304" pitchFamily="18" charset="0"/>
            </a:rPr>
            <a:t>Healthcare inflation showed a delayed spike post-COVID, especially in urban areas (up to 8%). </a:t>
          </a:r>
        </a:p>
        <a:p>
          <a:pPr marL="171450" indent="-171450">
            <a:buFont typeface="Arial" panose="020B0604020202020204" pitchFamily="34" charset="0"/>
            <a:buChar char="•"/>
          </a:pPr>
          <a:r>
            <a:rPr lang="en-US" sz="1200" b="1">
              <a:latin typeface="Times New Roman" panose="02020603050405020304" pitchFamily="18" charset="0"/>
              <a:cs typeface="Times New Roman" panose="02020603050405020304" pitchFamily="18" charset="0"/>
            </a:rPr>
            <a:t>Essential services experienced a temporary dip during lockdown followed by recovery. </a:t>
          </a:r>
        </a:p>
        <a:p>
          <a:pPr marL="171450" indent="-171450">
            <a:buFont typeface="Arial" panose="020B0604020202020204" pitchFamily="34" charset="0"/>
            <a:buChar char="•"/>
          </a:pPr>
          <a:r>
            <a:rPr lang="en-US" sz="1200" b="1">
              <a:latin typeface="Times New Roman" panose="02020603050405020304" pitchFamily="18" charset="0"/>
              <a:cs typeface="Times New Roman" panose="02020603050405020304" pitchFamily="18" charset="0"/>
            </a:rPr>
            <a:t>Rural inflation is more volatile and supply-driven, while urban inflation is more service-driven. </a:t>
          </a:r>
        </a:p>
        <a:p>
          <a:pPr marL="171450" indent="-171450">
            <a:buFont typeface="Arial" panose="020B0604020202020204" pitchFamily="34" charset="0"/>
            <a:buChar char="•"/>
          </a:pPr>
          <a:r>
            <a:rPr lang="en-US" sz="1200" b="1">
              <a:latin typeface="Times New Roman" panose="02020603050405020304" pitchFamily="18" charset="0"/>
              <a:cs typeface="Times New Roman" panose="02020603050405020304" pitchFamily="18" charset="0"/>
            </a:rPr>
            <a:t>Inflation pattern shifted from shock-driven (2020) to sustained inflation (2021–2022).</a:t>
          </a:r>
        </a:p>
        <a:p>
          <a:pPr algn="l"/>
          <a:endParaRPr lang="en-US" sz="1100"/>
        </a:p>
      </xdr:txBody>
    </xdr:sp>
    <xdr:clientData/>
  </xdr:twoCellAnchor>
  <xdr:twoCellAnchor>
    <xdr:from>
      <xdr:col>0</xdr:col>
      <xdr:colOff>278557</xdr:colOff>
      <xdr:row>206</xdr:row>
      <xdr:rowOff>92927</xdr:rowOff>
    </xdr:from>
    <xdr:to>
      <xdr:col>23</xdr:col>
      <xdr:colOff>418170</xdr:colOff>
      <xdr:row>212</xdr:row>
      <xdr:rowOff>139390</xdr:rowOff>
    </xdr:to>
    <xdr:sp macro="" textlink="">
      <xdr:nvSpPr>
        <xdr:cNvPr id="42" name="Rectangle: Rounded Corners 41">
          <a:extLst>
            <a:ext uri="{FF2B5EF4-FFF2-40B4-BE49-F238E27FC236}">
              <a16:creationId xmlns:a16="http://schemas.microsoft.com/office/drawing/2014/main" id="{FC796B10-412A-413B-A47E-77E23DBB696B}"/>
            </a:ext>
          </a:extLst>
        </xdr:cNvPr>
        <xdr:cNvSpPr/>
      </xdr:nvSpPr>
      <xdr:spPr>
        <a:xfrm>
          <a:off x="278557" y="39531073"/>
          <a:ext cx="16067272" cy="1161585"/>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latin typeface="Times New Roman" panose="02020603050405020304" pitchFamily="18" charset="0"/>
              <a:cs typeface="Times New Roman" panose="02020603050405020304" pitchFamily="18" charset="0"/>
            </a:rPr>
            <a:t>Imported oil price fluctuations play a crucial and broad-based role in driving CPI inflation, with both direct and indirect transmission effects across categories. The strongest impact is observed in energy-linked and transportation categories, while significant spillover effects are seen in food and other sectors due to increased logistics and production costs. This relationship remains consistent across Rural, Urban, and Rural</a:t>
          </a:r>
          <a:r>
            <a:rPr lang="en-US" sz="1500" b="1" baseline="0">
              <a:latin typeface="Times New Roman" panose="02020603050405020304" pitchFamily="18" charset="0"/>
              <a:cs typeface="Times New Roman" panose="02020603050405020304" pitchFamily="18" charset="0"/>
            </a:rPr>
            <a:t> + Urban </a:t>
          </a:r>
          <a:r>
            <a:rPr lang="en-US" sz="1500" b="1">
              <a:latin typeface="Times New Roman" panose="02020603050405020304" pitchFamily="18" charset="0"/>
              <a:cs typeface="Times New Roman" panose="02020603050405020304" pitchFamily="18" charset="0"/>
            </a:rPr>
            <a:t>indices, though the impact is slightly stronger in Urban areas, highlighting the economy-wide influence of fuel price volatility on inflation.</a:t>
          </a:r>
        </a:p>
      </xdr:txBody>
    </xdr:sp>
    <xdr:clientData/>
  </xdr:twoCellAnchor>
  <xdr:twoCellAnchor>
    <xdr:from>
      <xdr:col>0</xdr:col>
      <xdr:colOff>520391</xdr:colOff>
      <xdr:row>213</xdr:row>
      <xdr:rowOff>118566</xdr:rowOff>
    </xdr:from>
    <xdr:to>
      <xdr:col>6</xdr:col>
      <xdr:colOff>799171</xdr:colOff>
      <xdr:row>228</xdr:row>
      <xdr:rowOff>148682</xdr:rowOff>
    </xdr:to>
    <xdr:sp macro="" textlink="">
      <xdr:nvSpPr>
        <xdr:cNvPr id="43" name="Rectangle 42">
          <a:extLst>
            <a:ext uri="{FF2B5EF4-FFF2-40B4-BE49-F238E27FC236}">
              <a16:creationId xmlns:a16="http://schemas.microsoft.com/office/drawing/2014/main" id="{0F179071-DC41-43E2-93A3-49417E116721}"/>
            </a:ext>
          </a:extLst>
        </xdr:cNvPr>
        <xdr:cNvSpPr/>
      </xdr:nvSpPr>
      <xdr:spPr>
        <a:xfrm>
          <a:off x="520391" y="40857688"/>
          <a:ext cx="4311804" cy="281792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t>                          </a:t>
          </a:r>
          <a:r>
            <a:rPr lang="en-US" sz="1600" b="1">
              <a:latin typeface="Times New Roman" panose="02020603050405020304" pitchFamily="18" charset="0"/>
              <a:cs typeface="Times New Roman" panose="02020603050405020304" pitchFamily="18" charset="0"/>
            </a:rPr>
            <a:t>High Positive Correlation </a:t>
          </a:r>
        </a:p>
        <a:p>
          <a:endParaRPr lang="en-US" sz="1600" b="1">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Oils &amp; Fats:</a:t>
          </a:r>
          <a:endParaRPr lang="en-US" sz="1200">
            <a:latin typeface="Times New Roman" panose="02020603050405020304" pitchFamily="18" charset="0"/>
            <a:cs typeface="Times New Roman" panose="02020603050405020304" pitchFamily="18" charset="0"/>
          </a:endParaRPr>
        </a:p>
        <a:p>
          <a:r>
            <a:rPr lang="en-US" sz="1200">
              <a:latin typeface="Times New Roman" panose="02020603050405020304" pitchFamily="18" charset="0"/>
              <a:cs typeface="Times New Roman" panose="02020603050405020304" pitchFamily="18" charset="0"/>
            </a:rPr>
            <a:t>Rural (</a:t>
          </a:r>
          <a:r>
            <a:rPr lang="en-US" sz="1200" b="1">
              <a:latin typeface="Times New Roman" panose="02020603050405020304" pitchFamily="18" charset="0"/>
              <a:cs typeface="Times New Roman" panose="02020603050405020304" pitchFamily="18" charset="0"/>
            </a:rPr>
            <a:t>74.0%</a:t>
          </a:r>
          <a:r>
            <a:rPr lang="en-US" sz="1200">
              <a:latin typeface="Times New Roman" panose="02020603050405020304" pitchFamily="18" charset="0"/>
              <a:cs typeface="Times New Roman" panose="02020603050405020304" pitchFamily="18" charset="0"/>
            </a:rPr>
            <a:t>), Rural+Urban (</a:t>
          </a:r>
          <a:r>
            <a:rPr lang="en-US" sz="1200" b="1">
              <a:latin typeface="Times New Roman" panose="02020603050405020304" pitchFamily="18" charset="0"/>
              <a:cs typeface="Times New Roman" panose="02020603050405020304" pitchFamily="18" charset="0"/>
            </a:rPr>
            <a:t>75.9%</a:t>
          </a:r>
          <a:r>
            <a:rPr lang="en-US" sz="1200">
              <a:latin typeface="Times New Roman" panose="02020603050405020304" pitchFamily="18" charset="0"/>
              <a:cs typeface="Times New Roman" panose="02020603050405020304" pitchFamily="18" charset="0"/>
            </a:rPr>
            <a:t>), Urban (</a:t>
          </a:r>
          <a:r>
            <a:rPr lang="en-US" sz="1200" b="1">
              <a:latin typeface="Times New Roman" panose="02020603050405020304" pitchFamily="18" charset="0"/>
              <a:cs typeface="Times New Roman" panose="02020603050405020304" pitchFamily="18" charset="0"/>
            </a:rPr>
            <a:t>80.6%</a:t>
          </a:r>
          <a:r>
            <a:rPr lang="en-US" sz="1200">
              <a:latin typeface="Times New Roman" panose="02020603050405020304" pitchFamily="18" charset="0"/>
              <a:cs typeface="Times New Roman" panose="02020603050405020304" pitchFamily="18" charset="0"/>
            </a:rPr>
            <a:t>)</a:t>
          </a:r>
          <a:br>
            <a:rPr lang="en-US" sz="1200">
              <a:latin typeface="Times New Roman" panose="02020603050405020304" pitchFamily="18" charset="0"/>
              <a:cs typeface="Times New Roman" panose="02020603050405020304" pitchFamily="18" charset="0"/>
            </a:rPr>
          </a:br>
          <a:r>
            <a:rPr lang="en-US" sz="1200">
              <a:latin typeface="Times New Roman" panose="02020603050405020304" pitchFamily="18" charset="0"/>
              <a:cs typeface="Times New Roman" panose="02020603050405020304" pitchFamily="18" charset="0"/>
            </a:rPr>
            <a:t> Strongest correlation across all sectors </a:t>
          </a:r>
        </a:p>
        <a:p>
          <a:r>
            <a:rPr lang="en-US" sz="1200" b="1">
              <a:latin typeface="Times New Roman" panose="02020603050405020304" pitchFamily="18" charset="0"/>
              <a:cs typeface="Times New Roman" panose="02020603050405020304" pitchFamily="18" charset="0"/>
            </a:rPr>
            <a:t>Meat &amp; Fish:</a:t>
          </a:r>
          <a:endParaRPr lang="en-US" sz="1200">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68% across all sectors</a:t>
          </a:r>
          <a:br>
            <a:rPr lang="en-US" sz="1200">
              <a:latin typeface="Times New Roman" panose="02020603050405020304" pitchFamily="18" charset="0"/>
              <a:cs typeface="Times New Roman" panose="02020603050405020304" pitchFamily="18" charset="0"/>
            </a:rPr>
          </a:br>
          <a:r>
            <a:rPr lang="en-US" sz="1200">
              <a:latin typeface="Times New Roman" panose="02020603050405020304" pitchFamily="18" charset="0"/>
              <a:cs typeface="Times New Roman" panose="02020603050405020304" pitchFamily="18" charset="0"/>
            </a:rPr>
            <a:t> Indicates indirect dependency via transport &amp; storage costs </a:t>
          </a:r>
        </a:p>
        <a:p>
          <a:r>
            <a:rPr lang="en-US" sz="1200" b="1">
              <a:latin typeface="Times New Roman" panose="02020603050405020304" pitchFamily="18" charset="0"/>
              <a:cs typeface="Times New Roman" panose="02020603050405020304" pitchFamily="18" charset="0"/>
            </a:rPr>
            <a:t>Transport &amp; Communication:</a:t>
          </a:r>
          <a:endParaRPr lang="en-US" sz="1200">
            <a:latin typeface="Times New Roman" panose="02020603050405020304" pitchFamily="18" charset="0"/>
            <a:cs typeface="Times New Roman" panose="02020603050405020304" pitchFamily="18" charset="0"/>
          </a:endParaRPr>
        </a:p>
        <a:p>
          <a:r>
            <a:rPr lang="en-US" sz="1200">
              <a:latin typeface="Times New Roman" panose="02020603050405020304" pitchFamily="18" charset="0"/>
              <a:cs typeface="Times New Roman" panose="02020603050405020304" pitchFamily="18" charset="0"/>
            </a:rPr>
            <a:t>Rural (</a:t>
          </a:r>
          <a:r>
            <a:rPr lang="en-US" sz="1200" b="1">
              <a:latin typeface="Times New Roman" panose="02020603050405020304" pitchFamily="18" charset="0"/>
              <a:cs typeface="Times New Roman" panose="02020603050405020304" pitchFamily="18" charset="0"/>
            </a:rPr>
            <a:t>49.6%</a:t>
          </a:r>
          <a:r>
            <a:rPr lang="en-US" sz="1200">
              <a:latin typeface="Times New Roman" panose="02020603050405020304" pitchFamily="18" charset="0"/>
              <a:cs typeface="Times New Roman" panose="02020603050405020304" pitchFamily="18" charset="0"/>
            </a:rPr>
            <a:t>), Rural+Urban (</a:t>
          </a:r>
          <a:r>
            <a:rPr lang="en-US" sz="1200" b="1">
              <a:latin typeface="Times New Roman" panose="02020603050405020304" pitchFamily="18" charset="0"/>
              <a:cs typeface="Times New Roman" panose="02020603050405020304" pitchFamily="18" charset="0"/>
            </a:rPr>
            <a:t>51.6%</a:t>
          </a:r>
          <a:r>
            <a:rPr lang="en-US" sz="1200">
              <a:latin typeface="Times New Roman" panose="02020603050405020304" pitchFamily="18" charset="0"/>
              <a:cs typeface="Times New Roman" panose="02020603050405020304" pitchFamily="18" charset="0"/>
            </a:rPr>
            <a:t>), Urban (</a:t>
          </a:r>
          <a:r>
            <a:rPr lang="en-US" sz="1200" b="1">
              <a:latin typeface="Times New Roman" panose="02020603050405020304" pitchFamily="18" charset="0"/>
              <a:cs typeface="Times New Roman" panose="02020603050405020304" pitchFamily="18" charset="0"/>
            </a:rPr>
            <a:t>53.6%</a:t>
          </a:r>
          <a:r>
            <a:rPr lang="en-US" sz="1200">
              <a:latin typeface="Times New Roman" panose="02020603050405020304" pitchFamily="18" charset="0"/>
              <a:cs typeface="Times New Roman" panose="02020603050405020304" pitchFamily="18" charset="0"/>
            </a:rPr>
            <a:t>)</a:t>
          </a:r>
          <a:br>
            <a:rPr lang="en-US" sz="1200">
              <a:latin typeface="Times New Roman" panose="02020603050405020304" pitchFamily="18" charset="0"/>
              <a:cs typeface="Times New Roman" panose="02020603050405020304" pitchFamily="18" charset="0"/>
            </a:rPr>
          </a:br>
          <a:r>
            <a:rPr lang="en-US" sz="1200">
              <a:latin typeface="Times New Roman" panose="02020603050405020304" pitchFamily="18" charset="0"/>
              <a:cs typeface="Times New Roman" panose="02020603050405020304" pitchFamily="18" charset="0"/>
            </a:rPr>
            <a:t> Directly linked to fuel prices </a:t>
          </a:r>
        </a:p>
        <a:p>
          <a:r>
            <a:rPr lang="en-US" sz="1200" b="1">
              <a:latin typeface="Times New Roman" panose="02020603050405020304" pitchFamily="18" charset="0"/>
              <a:cs typeface="Times New Roman" panose="02020603050405020304" pitchFamily="18" charset="0"/>
            </a:rPr>
            <a:t>Food &amp; Beverages:</a:t>
          </a:r>
          <a:endParaRPr lang="en-US" sz="1200">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42–45% across sectors</a:t>
          </a:r>
          <a:br>
            <a:rPr lang="en-US" sz="1200">
              <a:latin typeface="Times New Roman" panose="02020603050405020304" pitchFamily="18" charset="0"/>
              <a:cs typeface="Times New Roman" panose="02020603050405020304" pitchFamily="18" charset="0"/>
            </a:rPr>
          </a:br>
          <a:r>
            <a:rPr lang="en-US" sz="1200">
              <a:latin typeface="Times New Roman" panose="02020603050405020304" pitchFamily="18" charset="0"/>
              <a:cs typeface="Times New Roman" panose="02020603050405020304" pitchFamily="18" charset="0"/>
            </a:rPr>
            <a:t> Shows pass-through effect of fuel costs into food inflation</a:t>
          </a:r>
        </a:p>
        <a:p>
          <a:pPr algn="l"/>
          <a:endParaRPr lang="en-US" sz="1100"/>
        </a:p>
      </xdr:txBody>
    </xdr:sp>
    <xdr:clientData/>
  </xdr:twoCellAnchor>
  <xdr:twoCellAnchor>
    <xdr:from>
      <xdr:col>7</xdr:col>
      <xdr:colOff>454106</xdr:colOff>
      <xdr:row>213</xdr:row>
      <xdr:rowOff>118901</xdr:rowOff>
    </xdr:from>
    <xdr:to>
      <xdr:col>12</xdr:col>
      <xdr:colOff>594731</xdr:colOff>
      <xdr:row>222</xdr:row>
      <xdr:rowOff>83633</xdr:rowOff>
    </xdr:to>
    <xdr:sp macro="" textlink="">
      <xdr:nvSpPr>
        <xdr:cNvPr id="44" name="Rectangle 43">
          <a:extLst>
            <a:ext uri="{FF2B5EF4-FFF2-40B4-BE49-F238E27FC236}">
              <a16:creationId xmlns:a16="http://schemas.microsoft.com/office/drawing/2014/main" id="{5B2EEC3E-C074-4E3B-B42C-8CA6B0ADABA3}"/>
            </a:ext>
          </a:extLst>
        </xdr:cNvPr>
        <xdr:cNvSpPr/>
      </xdr:nvSpPr>
      <xdr:spPr>
        <a:xfrm>
          <a:off x="5369935" y="40858023"/>
          <a:ext cx="3904162" cy="163741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r>
            <a:rPr lang="en-US" sz="1400" b="1" baseline="0">
              <a:solidFill>
                <a:schemeClr val="lt1"/>
              </a:solidFill>
              <a:latin typeface="Times New Roman" panose="02020603050405020304" pitchFamily="18" charset="0"/>
              <a:ea typeface="+mn-ea"/>
              <a:cs typeface="Times New Roman" panose="02020603050405020304" pitchFamily="18" charset="0"/>
            </a:rPr>
            <a:t>                  </a:t>
          </a:r>
          <a:r>
            <a:rPr lang="en-US" sz="1600" b="1">
              <a:solidFill>
                <a:schemeClr val="lt1"/>
              </a:solidFill>
              <a:latin typeface="Times New Roman" panose="02020603050405020304" pitchFamily="18" charset="0"/>
              <a:ea typeface="+mn-ea"/>
              <a:cs typeface="Times New Roman" panose="02020603050405020304" pitchFamily="18" charset="0"/>
            </a:rPr>
            <a:t>Moderate Correlation</a:t>
          </a:r>
        </a:p>
        <a:p>
          <a:pPr marL="0" indent="0"/>
          <a:endParaRPr lang="en-US" sz="1100" b="1">
            <a:solidFill>
              <a:schemeClr val="lt1"/>
            </a:solidFill>
            <a:latin typeface="+mn-lt"/>
            <a:ea typeface="+mn-ea"/>
            <a:cs typeface="+mn-cs"/>
          </a:endParaRPr>
        </a:p>
        <a:p>
          <a:pPr marL="0" indent="0"/>
          <a:r>
            <a:rPr lang="en-US" sz="1200" b="1">
              <a:solidFill>
                <a:schemeClr val="lt1"/>
              </a:solidFill>
              <a:latin typeface="Times New Roman" panose="02020603050405020304" pitchFamily="18" charset="0"/>
              <a:ea typeface="+mn-ea"/>
              <a:cs typeface="Times New Roman" panose="02020603050405020304" pitchFamily="18" charset="0"/>
            </a:rPr>
            <a:t>Vegetables: 42–46% </a:t>
          </a:r>
        </a:p>
        <a:p>
          <a:pPr marL="0" indent="0"/>
          <a:r>
            <a:rPr lang="en-US" sz="1200" b="1">
              <a:solidFill>
                <a:schemeClr val="lt1"/>
              </a:solidFill>
              <a:latin typeface="Times New Roman" panose="02020603050405020304" pitchFamily="18" charset="0"/>
              <a:ea typeface="+mn-ea"/>
              <a:cs typeface="Times New Roman" panose="02020603050405020304" pitchFamily="18" charset="0"/>
            </a:rPr>
            <a:t>Fuel &amp; Light: 38–41% </a:t>
          </a:r>
        </a:p>
        <a:p>
          <a:pPr marL="0" indent="0"/>
          <a:r>
            <a:rPr lang="en-US" sz="1200" b="1">
              <a:solidFill>
                <a:schemeClr val="lt1"/>
              </a:solidFill>
              <a:latin typeface="Times New Roman" panose="02020603050405020304" pitchFamily="18" charset="0"/>
              <a:ea typeface="+mn-ea"/>
              <a:cs typeface="Times New Roman" panose="02020603050405020304" pitchFamily="18" charset="0"/>
            </a:rPr>
            <a:t>Clothing &amp; Footwear: 34–38% </a:t>
          </a:r>
        </a:p>
        <a:p>
          <a:pPr marL="0" indent="0"/>
          <a:r>
            <a:rPr lang="en-US" sz="1200" b="1">
              <a:solidFill>
                <a:schemeClr val="lt1"/>
              </a:solidFill>
              <a:latin typeface="Times New Roman" panose="02020603050405020304" pitchFamily="18" charset="0"/>
              <a:ea typeface="+mn-ea"/>
              <a:cs typeface="Times New Roman" panose="02020603050405020304" pitchFamily="18" charset="0"/>
            </a:rPr>
            <a:t>Miscellaneous: 33–36% </a:t>
          </a:r>
        </a:p>
        <a:p>
          <a:pPr marL="0" indent="0"/>
          <a:r>
            <a:rPr lang="en-US" sz="1200" b="0">
              <a:solidFill>
                <a:schemeClr val="lt1"/>
              </a:solidFill>
              <a:latin typeface="Times New Roman" panose="02020603050405020304" pitchFamily="18" charset="0"/>
              <a:ea typeface="+mn-ea"/>
              <a:cs typeface="Times New Roman" panose="02020603050405020304" pitchFamily="18" charset="0"/>
            </a:rPr>
            <a:t>These categories are indirectly affected via logistics, production, and distribution costs</a:t>
          </a:r>
        </a:p>
        <a:p>
          <a:pPr marL="0" indent="0" algn="l"/>
          <a:endParaRPr lang="en-US" sz="1100" b="1">
            <a:solidFill>
              <a:schemeClr val="lt1"/>
            </a:solidFill>
            <a:latin typeface="+mn-lt"/>
            <a:ea typeface="+mn-ea"/>
            <a:cs typeface="+mn-cs"/>
          </a:endParaRPr>
        </a:p>
      </xdr:txBody>
    </xdr:sp>
    <xdr:clientData/>
  </xdr:twoCellAnchor>
  <xdr:twoCellAnchor>
    <xdr:from>
      <xdr:col>13</xdr:col>
      <xdr:colOff>584093</xdr:colOff>
      <xdr:row>213</xdr:row>
      <xdr:rowOff>129759</xdr:rowOff>
    </xdr:from>
    <xdr:to>
      <xdr:col>18</xdr:col>
      <xdr:colOff>399586</xdr:colOff>
      <xdr:row>222</xdr:row>
      <xdr:rowOff>83633</xdr:rowOff>
    </xdr:to>
    <xdr:sp macro="" textlink="">
      <xdr:nvSpPr>
        <xdr:cNvPr id="45" name="Rectangle 44">
          <a:extLst>
            <a:ext uri="{FF2B5EF4-FFF2-40B4-BE49-F238E27FC236}">
              <a16:creationId xmlns:a16="http://schemas.microsoft.com/office/drawing/2014/main" id="{7AFA855A-812A-48A7-9B34-BAA6652E59C3}"/>
            </a:ext>
          </a:extLst>
        </xdr:cNvPr>
        <xdr:cNvSpPr/>
      </xdr:nvSpPr>
      <xdr:spPr>
        <a:xfrm>
          <a:off x="9876776" y="40868881"/>
          <a:ext cx="3383883" cy="16265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a:latin typeface="Times New Roman" panose="02020603050405020304" pitchFamily="18" charset="0"/>
              <a:cs typeface="Times New Roman" panose="02020603050405020304" pitchFamily="18" charset="0"/>
            </a:rPr>
            <a:t>            </a:t>
          </a:r>
          <a:r>
            <a:rPr lang="en-US" sz="1600" b="1">
              <a:latin typeface="Times New Roman" panose="02020603050405020304" pitchFamily="18" charset="0"/>
              <a:cs typeface="Times New Roman" panose="02020603050405020304" pitchFamily="18" charset="0"/>
            </a:rPr>
            <a:t>Low / Negative Correlation</a:t>
          </a:r>
        </a:p>
        <a:p>
          <a:endParaRPr lang="en-US" sz="1200" b="1">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Egg:</a:t>
          </a:r>
          <a:r>
            <a:rPr lang="en-US" sz="120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–32% to –37%</a:t>
          </a:r>
          <a:r>
            <a:rPr lang="en-US" sz="1200">
              <a:latin typeface="Times New Roman" panose="02020603050405020304" pitchFamily="18" charset="0"/>
              <a:cs typeface="Times New Roman" panose="02020603050405020304" pitchFamily="18" charset="0"/>
            </a:rPr>
            <a:t> </a:t>
          </a:r>
        </a:p>
        <a:p>
          <a:r>
            <a:rPr lang="en-US" sz="1200" b="1">
              <a:latin typeface="Times New Roman" panose="02020603050405020304" pitchFamily="18" charset="0"/>
              <a:cs typeface="Times New Roman" panose="02020603050405020304" pitchFamily="18" charset="0"/>
            </a:rPr>
            <a:t>Pulses:</a:t>
          </a:r>
          <a:r>
            <a:rPr lang="en-US" sz="120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–5% to –23%</a:t>
          </a:r>
          <a:r>
            <a:rPr lang="en-US" sz="1200">
              <a:latin typeface="Times New Roman" panose="02020603050405020304" pitchFamily="18" charset="0"/>
              <a:cs typeface="Times New Roman" panose="02020603050405020304" pitchFamily="18" charset="0"/>
            </a:rPr>
            <a:t> </a:t>
          </a:r>
        </a:p>
        <a:p>
          <a:r>
            <a:rPr lang="en-US" sz="1200">
              <a:latin typeface="Times New Roman" panose="02020603050405020304" pitchFamily="18" charset="0"/>
              <a:cs typeface="Times New Roman" panose="02020603050405020304" pitchFamily="18" charset="0"/>
            </a:rPr>
            <a:t>Indicates independence from oil price movement, driven more by seasonality and domestic supply</a:t>
          </a:r>
        </a:p>
        <a:p>
          <a:pPr algn="l"/>
          <a:endParaRPr lang="en-US" sz="1100"/>
        </a:p>
      </xdr:txBody>
    </xdr:sp>
    <xdr:clientData/>
  </xdr:twoCellAnchor>
  <xdr:twoCellAnchor>
    <xdr:from>
      <xdr:col>1</xdr:col>
      <xdr:colOff>577267</xdr:colOff>
      <xdr:row>213</xdr:row>
      <xdr:rowOff>155512</xdr:rowOff>
    </xdr:from>
    <xdr:to>
      <xdr:col>2</xdr:col>
      <xdr:colOff>143950</xdr:colOff>
      <xdr:row>214</xdr:row>
      <xdr:rowOff>136636</xdr:rowOff>
    </xdr:to>
    <xdr:sp macro="" textlink="">
      <xdr:nvSpPr>
        <xdr:cNvPr id="46" name="Arrow: Up 45">
          <a:extLst>
            <a:ext uri="{FF2B5EF4-FFF2-40B4-BE49-F238E27FC236}">
              <a16:creationId xmlns:a16="http://schemas.microsoft.com/office/drawing/2014/main" id="{D308ECA2-14D3-4769-94A4-8226CAC0BDB1}"/>
            </a:ext>
          </a:extLst>
        </xdr:cNvPr>
        <xdr:cNvSpPr/>
      </xdr:nvSpPr>
      <xdr:spPr>
        <a:xfrm>
          <a:off x="1190584" y="40894634"/>
          <a:ext cx="180000" cy="166978"/>
        </a:xfrm>
        <a:prstGeom prst="up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195147</xdr:colOff>
      <xdr:row>214</xdr:row>
      <xdr:rowOff>27092</xdr:rowOff>
    </xdr:from>
    <xdr:to>
      <xdr:col>14</xdr:col>
      <xdr:colOff>447598</xdr:colOff>
      <xdr:row>214</xdr:row>
      <xdr:rowOff>176560</xdr:rowOff>
    </xdr:to>
    <xdr:sp macro="" textlink="">
      <xdr:nvSpPr>
        <xdr:cNvPr id="47" name="Arrow: Down 46">
          <a:extLst>
            <a:ext uri="{FF2B5EF4-FFF2-40B4-BE49-F238E27FC236}">
              <a16:creationId xmlns:a16="http://schemas.microsoft.com/office/drawing/2014/main" id="{53E8637D-6D38-4463-9CF8-AF328B49A746}"/>
            </a:ext>
          </a:extLst>
        </xdr:cNvPr>
        <xdr:cNvSpPr/>
      </xdr:nvSpPr>
      <xdr:spPr>
        <a:xfrm>
          <a:off x="10101147" y="40952068"/>
          <a:ext cx="252451" cy="149468"/>
        </a:xfrm>
        <a:prstGeom prst="down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789880</xdr:colOff>
      <xdr:row>230</xdr:row>
      <xdr:rowOff>27767</xdr:rowOff>
    </xdr:from>
    <xdr:to>
      <xdr:col>17</xdr:col>
      <xdr:colOff>130099</xdr:colOff>
      <xdr:row>241</xdr:row>
      <xdr:rowOff>55757</xdr:rowOff>
    </xdr:to>
    <xdr:sp macro="" textlink="">
      <xdr:nvSpPr>
        <xdr:cNvPr id="48" name="Rectangle: Rounded Corners 47">
          <a:extLst>
            <a:ext uri="{FF2B5EF4-FFF2-40B4-BE49-F238E27FC236}">
              <a16:creationId xmlns:a16="http://schemas.microsoft.com/office/drawing/2014/main" id="{C62D770F-8E27-45A7-BD4E-D52F936838A2}"/>
            </a:ext>
          </a:extLst>
        </xdr:cNvPr>
        <xdr:cNvSpPr/>
      </xdr:nvSpPr>
      <xdr:spPr>
        <a:xfrm>
          <a:off x="3856465" y="43926401"/>
          <a:ext cx="8521390" cy="20723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171450" indent="-171450" algn="l">
            <a:buFont typeface="Arial" panose="020B0604020202020204" pitchFamily="34" charset="0"/>
            <a:buChar char="•"/>
          </a:pPr>
          <a:r>
            <a:rPr lang="en-US" sz="1400">
              <a:latin typeface="Times New Roman" panose="02020603050405020304" pitchFamily="18" charset="0"/>
              <a:cs typeface="Times New Roman" panose="02020603050405020304" pitchFamily="18" charset="0"/>
            </a:rPr>
            <a:t>Oil price fluctuations have a </a:t>
          </a:r>
          <a:r>
            <a:rPr lang="en-US" sz="1400" b="1">
              <a:latin typeface="Times New Roman" panose="02020603050405020304" pitchFamily="18" charset="0"/>
              <a:cs typeface="Times New Roman" panose="02020603050405020304" pitchFamily="18" charset="0"/>
            </a:rPr>
            <a:t>direct and strongest impact on energy-linked categories</a:t>
          </a:r>
          <a:r>
            <a:rPr lang="en-US" sz="1400">
              <a:latin typeface="Times New Roman" panose="02020603050405020304" pitchFamily="18" charset="0"/>
              <a:cs typeface="Times New Roman" panose="02020603050405020304" pitchFamily="18" charset="0"/>
            </a:rPr>
            <a:t>, especially oils &amp; fats. </a:t>
          </a:r>
        </a:p>
        <a:p>
          <a:pPr marL="171450" indent="-171450" algn="l">
            <a:buFont typeface="Arial" panose="020B0604020202020204" pitchFamily="34" charset="0"/>
            <a:buChar char="•"/>
          </a:pPr>
          <a:r>
            <a:rPr lang="en-US" sz="1400">
              <a:latin typeface="Times New Roman" panose="02020603050405020304" pitchFamily="18" charset="0"/>
              <a:cs typeface="Times New Roman" panose="02020603050405020304" pitchFamily="18" charset="0"/>
            </a:rPr>
            <a:t>Significant </a:t>
          </a:r>
          <a:r>
            <a:rPr lang="en-US" sz="1400" b="1">
              <a:latin typeface="Times New Roman" panose="02020603050405020304" pitchFamily="18" charset="0"/>
              <a:cs typeface="Times New Roman" panose="02020603050405020304" pitchFamily="18" charset="0"/>
            </a:rPr>
            <a:t>indirect impact on food categories</a:t>
          </a:r>
          <a:r>
            <a:rPr lang="en-US" sz="1400">
              <a:latin typeface="Times New Roman" panose="02020603050405020304" pitchFamily="18" charset="0"/>
              <a:cs typeface="Times New Roman" panose="02020603050405020304" pitchFamily="18" charset="0"/>
            </a:rPr>
            <a:t> due to transportation and supply chain costs. </a:t>
          </a:r>
        </a:p>
        <a:p>
          <a:pPr marL="171450" indent="-171450" algn="l">
            <a:buFont typeface="Arial" panose="020B0604020202020204" pitchFamily="34" charset="0"/>
            <a:buChar char="•"/>
          </a:pPr>
          <a:r>
            <a:rPr lang="en-US" sz="1400" b="1">
              <a:latin typeface="Times New Roman" panose="02020603050405020304" pitchFamily="18" charset="0"/>
              <a:cs typeface="Times New Roman" panose="02020603050405020304" pitchFamily="18" charset="0"/>
            </a:rPr>
            <a:t>Transport &amp; communication acts as a key transmission channel</a:t>
          </a:r>
          <a:r>
            <a:rPr lang="en-US" sz="1400">
              <a:latin typeface="Times New Roman" panose="02020603050405020304" pitchFamily="18" charset="0"/>
              <a:cs typeface="Times New Roman" panose="02020603050405020304" pitchFamily="18" charset="0"/>
            </a:rPr>
            <a:t> of oil price shocks into CPI. </a:t>
          </a:r>
        </a:p>
        <a:p>
          <a:pPr marL="171450" indent="-171450" algn="l">
            <a:buFont typeface="Arial" panose="020B0604020202020204" pitchFamily="34" charset="0"/>
            <a:buChar char="•"/>
          </a:pPr>
          <a:r>
            <a:rPr lang="en-US" sz="1400">
              <a:latin typeface="Times New Roman" panose="02020603050405020304" pitchFamily="18" charset="0"/>
              <a:cs typeface="Times New Roman" panose="02020603050405020304" pitchFamily="18" charset="0"/>
            </a:rPr>
            <a:t>Not all food categories are affected equally — some remain </a:t>
          </a:r>
          <a:r>
            <a:rPr lang="en-US" sz="1400" b="1">
              <a:latin typeface="Times New Roman" panose="02020603050405020304" pitchFamily="18" charset="0"/>
              <a:cs typeface="Times New Roman" panose="02020603050405020304" pitchFamily="18" charset="0"/>
            </a:rPr>
            <a:t>supply-driven rather than fuel-driven</a:t>
          </a:r>
          <a:r>
            <a:rPr lang="en-US" sz="1400">
              <a:latin typeface="Times New Roman" panose="02020603050405020304" pitchFamily="18" charset="0"/>
              <a:cs typeface="Times New Roman" panose="02020603050405020304" pitchFamily="18" charset="0"/>
            </a:rPr>
            <a:t>. </a:t>
          </a:r>
        </a:p>
        <a:p>
          <a:pPr marL="171450" indent="-171450" algn="l">
            <a:buFont typeface="Arial" panose="020B0604020202020204" pitchFamily="34" charset="0"/>
            <a:buChar char="•"/>
          </a:pPr>
          <a:r>
            <a:rPr lang="en-US" sz="1400">
              <a:latin typeface="Times New Roman" panose="02020603050405020304" pitchFamily="18" charset="0"/>
              <a:cs typeface="Times New Roman" panose="02020603050405020304" pitchFamily="18" charset="0"/>
            </a:rPr>
            <a:t>Urban markets are </a:t>
          </a:r>
          <a:r>
            <a:rPr lang="en-US" sz="1400" b="1">
              <a:latin typeface="Times New Roman" panose="02020603050405020304" pitchFamily="18" charset="0"/>
              <a:cs typeface="Times New Roman" panose="02020603050405020304" pitchFamily="18" charset="0"/>
            </a:rPr>
            <a:t>more exposed to global oil price volatility</a:t>
          </a:r>
          <a:r>
            <a:rPr lang="en-US" sz="1400">
              <a:latin typeface="Times New Roman" panose="02020603050405020304" pitchFamily="18" charset="0"/>
              <a:cs typeface="Times New Roman" panose="02020603050405020304" pitchFamily="18" charset="0"/>
            </a:rPr>
            <a:t> compared to rural areas.</a:t>
          </a:r>
        </a:p>
      </xdr:txBody>
    </xdr:sp>
    <xdr:clientData/>
  </xdr:twoCellAnchor>
  <xdr:twoCellAnchor>
    <xdr:from>
      <xdr:col>6</xdr:col>
      <xdr:colOff>619140</xdr:colOff>
      <xdr:row>228</xdr:row>
      <xdr:rowOff>179135</xdr:rowOff>
    </xdr:from>
    <xdr:to>
      <xdr:col>15</xdr:col>
      <xdr:colOff>623865</xdr:colOff>
      <xdr:row>230</xdr:row>
      <xdr:rowOff>59428</xdr:rowOff>
    </xdr:to>
    <xdr:sp macro="" textlink="">
      <xdr:nvSpPr>
        <xdr:cNvPr id="49" name="Rectangle: Rounded Corners 48">
          <a:extLst>
            <a:ext uri="{FF2B5EF4-FFF2-40B4-BE49-F238E27FC236}">
              <a16:creationId xmlns:a16="http://schemas.microsoft.com/office/drawing/2014/main" id="{B6D184BB-C079-4192-BA50-CC6C06478B53}"/>
            </a:ext>
          </a:extLst>
        </xdr:cNvPr>
        <xdr:cNvSpPr/>
      </xdr:nvSpPr>
      <xdr:spPr>
        <a:xfrm>
          <a:off x="4652164" y="43706062"/>
          <a:ext cx="6491018" cy="252000"/>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Key Business Insights</a:t>
          </a:r>
          <a:endParaRPr lang="en-US" sz="2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37.110181828706" createdVersion="8" refreshedVersion="8" minRefreshableVersion="3" recordCount="26" xr:uid="{FF9B976E-0264-4243-9051-A63D8FEEEEF9}">
  <cacheSource type="worksheet">
    <worksheetSource ref="A2:E28" sheet="random data"/>
  </cacheSource>
  <cacheFields count="5">
    <cacheField name="CATEGORIES" numFmtId="0">
      <sharedItems count="10">
        <s v="Fooding"/>
        <s v="LUXURY"/>
        <s v="Clothing"/>
        <s v="HOUSING"/>
        <s v="Fuel and light"/>
        <s v="Health"/>
        <s v="Transport and communication"/>
        <s v="Education"/>
        <s v="LUXURY "/>
        <s v="misc"/>
      </sharedItems>
    </cacheField>
    <cacheField name="Sector" numFmtId="0">
      <sharedItems/>
    </cacheField>
    <cacheField name="Rural" numFmtId="0">
      <sharedItems containsMixedTypes="1" containsNumber="1" minValue="121.9" maxValue="221"/>
    </cacheField>
    <cacheField name="Urban" numFmtId="0">
      <sharedItems containsSemiMixedTypes="0" containsString="0" containsNumber="1" minValue="124.2" maxValue="219.4"/>
    </cacheField>
    <cacheField name="Rural+Urban" numFmtId="0">
      <sharedItems containsSemiMixedTypes="0" containsString="0" containsNumber="1" minValue="122.7" maxValue="21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37.110182523145" createdVersion="8" refreshedVersion="8" minRefreshableVersion="3" recordCount="15" xr:uid="{82179736-6299-41CE-99B1-E69E334942FF}">
  <cacheSource type="worksheet">
    <worksheetSource ref="A211:J226" sheet="random data"/>
  </cacheSource>
  <cacheFields count="10">
    <cacheField name="Site" numFmtId="0">
      <sharedItems count="3">
        <s v="Rural"/>
        <s v="Urban"/>
        <s v="Rural+Urban"/>
      </sharedItems>
    </cacheField>
    <cacheField name="period" numFmtId="0">
      <sharedItems/>
    </cacheField>
    <cacheField name="Year" numFmtId="0">
      <sharedItems containsSemiMixedTypes="0" containsString="0" containsNumber="1" containsInteger="1" minValue="2018" maxValue="2022" count="5">
        <n v="2018"/>
        <n v="2019"/>
        <n v="2020"/>
        <n v="2021"/>
        <n v="2022"/>
      </sharedItems>
    </cacheField>
    <cacheField name="Month" numFmtId="0">
      <sharedItems/>
    </cacheField>
    <cacheField name="FOOD " numFmtId="0">
      <sharedItems containsSemiMixedTypes="0" containsString="0" containsNumber="1" minValue="1875.2" maxValue="2393.8000000000002"/>
    </cacheField>
    <cacheField name="increase % food" numFmtId="9">
      <sharedItems containsSemiMixedTypes="0" containsString="0" containsNumber="1" minValue="-6.7110629291204996E-3" maxValue="8.9873539916980091E-2"/>
    </cacheField>
    <cacheField name="HEALTH" numFmtId="0">
      <sharedItems containsSemiMixedTypes="0" containsString="0" containsNumber="1" minValue="130.5" maxValue="176"/>
    </cacheField>
    <cacheField name="increase % Health" numFmtId="9">
      <sharedItems containsSemiMixedTypes="0" containsString="0" containsNumber="1" minValue="4.1666666666666755E-2" maxValue="0.10021945866861755"/>
    </cacheField>
    <cacheField name="ESSENTIAL" numFmtId="0">
      <sharedItems containsSemiMixedTypes="0" containsString="0" containsNumber="1" minValue="1254.7" maxValue="1657.5"/>
    </cacheField>
    <cacheField name="increase % Essential" numFmtId="9">
      <sharedItems containsSemiMixedTypes="0" containsString="0" containsNumber="1" minValue="3.4517067197306094E-2" maxValue="8.228701142086986E-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37.110184837962" createdVersion="8" refreshedVersion="8" minRefreshableVersion="3" recordCount="39" xr:uid="{03DA9DA2-2DD9-46FA-88E1-2BF686D11646}">
  <cacheSource type="worksheet">
    <worksheetSource name="Table3"/>
  </cacheSource>
  <cacheFields count="33">
    <cacheField name="Sector" numFmtId="0">
      <sharedItems count="3">
        <s v="Rural"/>
        <s v="Rural+Urban"/>
        <s v="Urban"/>
      </sharedItems>
    </cacheField>
    <cacheField name="Year" numFmtId="0">
      <sharedItems containsSemiMixedTypes="0" containsString="0" containsNumber="1" containsInteger="1" minValue="2022" maxValue="2023"/>
    </cacheField>
    <cacheField name="Month" numFmtId="0">
      <sharedItems/>
    </cacheField>
    <cacheField name="date" numFmtId="17">
      <sharedItems containsSemiMixedTypes="0" containsNonDate="0" containsDate="1" containsString="0" minDate="2022-05-01T00:00:00" maxDate="2023-05-02T00:00:00" count="13">
        <d v="2022-05-01T00:00:00"/>
        <d v="2022-06-01T00:00:00"/>
        <d v="2022-07-01T00:00:00"/>
        <d v="2022-08-01T00:00:00"/>
        <d v="2022-09-01T00:00:00"/>
        <d v="2022-10-01T00:00:00"/>
        <d v="2022-11-01T00:00:00"/>
        <d v="2022-12-01T00:00:00"/>
        <d v="2023-01-01T00:00:00"/>
        <d v="2023-02-01T00:00:00"/>
        <d v="2023-03-01T00:00:00"/>
        <d v="2023-04-01T00:00:00"/>
        <d v="2023-05-01T00:00:00"/>
      </sharedItems>
      <fieldGroup par="32"/>
    </cacheField>
    <cacheField name="Cereals and products" numFmtId="0">
      <sharedItems containsSemiMixedTypes="0" containsString="0" containsNumber="1" minValue="152.9" maxValue="174.8"/>
    </cacheField>
    <cacheField name="% change Cereals and products" numFmtId="0">
      <sharedItems containsString="0" containsBlank="1" containsNumber="1" minValue="-5.737234652897303E-3" maxValue="3.0805687203791399E-2"/>
    </cacheField>
    <cacheField name="Meat and fish" numFmtId="0">
      <sharedItems containsSemiMixedTypes="0" containsString="0" containsNumber="1" minValue="204.1" maxValue="223.4"/>
    </cacheField>
    <cacheField name="% change Meat and fish" numFmtId="0">
      <sharedItems containsString="0" containsBlank="1" containsNumber="1" minValue="-3.1783681214421329E-2" maxValue="2.6672905942910705E-2"/>
    </cacheField>
    <cacheField name="Egg" numFmtId="0">
      <sharedItems containsSemiMixedTypes="0" containsString="0" containsNumber="1" minValue="161.4" maxValue="197"/>
    </cacheField>
    <cacheField name="% change egg" numFmtId="0">
      <sharedItems containsString="0" containsBlank="1" containsNumber="1" minValue="-0.10050761421319802" maxValue="6.5735892961023751E-2"/>
    </cacheField>
    <cacheField name="Milk and products" numFmtId="0">
      <sharedItems containsSemiMixedTypes="0" containsString="0" containsNumber="1" minValue="164.6" maxValue="179.6"/>
    </cacheField>
    <cacheField name="% change Milk and products" numFmtId="0">
      <sharedItems containsString="0" containsBlank="1" containsNumber="1" minValue="0" maxValue="1.5490533562822654E-2"/>
    </cacheField>
    <cacheField name="Oils and fats" numFmtId="0">
      <sharedItems containsSemiMixedTypes="0" containsString="0" containsNumber="1" minValue="164.4" maxValue="209.9"/>
    </cacheField>
    <cacheField name="% change Oils and fats" numFmtId="0">
      <sharedItems containsString="0" containsBlank="1" containsNumber="1" minValue="-4.7767393561786026E-2" maxValue="1.2943162633652288E-2"/>
    </cacheField>
    <cacheField name="Fruits" numFmtId="0">
      <sharedItems containsSemiMixedTypes="0" containsString="0" containsNumber="1" minValue="156.30000000000001" maxValue="179.5"/>
    </cacheField>
    <cacheField name="% change Fruits" numFmtId="0">
      <sharedItems containsString="0" containsBlank="1" containsNumber="1" minValue="-5.4206662902315045E-2" maxValue="7.2274143302180655E-2"/>
    </cacheField>
    <cacheField name="Vegetables" numFmtId="0">
      <sharedItems containsSemiMixedTypes="0" containsString="0" containsNumber="1" minValue="140.9" maxValue="228.6"/>
    </cacheField>
    <cacheField name="% change Vegetables" numFmtId="0">
      <sharedItems containsString="0" containsBlank="1" containsNumber="1" minValue="-0.1304136253041363" maxValue="4.4657998869417778E-2"/>
    </cacheField>
    <cacheField name="Pulses and products" numFmtId="0">
      <sharedItems containsSemiMixedTypes="0" containsString="0" containsNumber="1" minValue="163.6" maxValue="176.9"/>
    </cacheField>
    <cacheField name="% change Pulses and products" numFmtId="0">
      <sharedItems containsString="0" containsBlank="1" containsNumber="1" minValue="-3.0469226081657527E-3" maxValue="2.0121951219512265E-2"/>
    </cacheField>
    <cacheField name="Sugar and Confectionery" numFmtId="0">
      <sharedItems containsSemiMixedTypes="0" containsString="0" containsNumber="1" minValue="118.9" maxValue="124.2"/>
    </cacheField>
    <cacheField name="% change Sugar and Confectionery" numFmtId="0">
      <sharedItems containsString="0" containsBlank="1" containsNumber="1" minValue="-9.9750623441396749E-3" maxValue="1.2458471760797342E-2"/>
    </cacheField>
    <cacheField name="Spices" numFmtId="0">
      <sharedItems containsSemiMixedTypes="0" containsString="0" containsNumber="1" minValue="181.4" maxValue="221"/>
    </cacheField>
    <cacheField name="% change Spices" numFmtId="0">
      <sharedItems containsString="0" containsBlank="1" containsNumber="1" minValue="0" maxValue="2.5522041763341066E-2"/>
    </cacheField>
    <cacheField name="Prepared meals, snacks, sweets etc." numFmtId="0">
      <sharedItems containsSemiMixedTypes="0" containsString="0" containsNumber="1" minValue="180.4" maxValue="197.7"/>
    </cacheField>
    <cacheField name="% change Prepared meals, snacks, sweets etc." numFmtId="0">
      <sharedItems containsString="0" containsBlank="1" containsNumber="1" minValue="0" maxValue="1.1837364899639644E-2"/>
    </cacheField>
    <cacheField name="Food and beverages" numFmtId="0">
      <sharedItems containsSemiMixedTypes="0" containsString="0" containsNumber="1" minValue="170.8" maxValue="183.3"/>
    </cacheField>
    <cacheField name="% change Food and beverages" numFmtId="0">
      <sharedItems containsString="0" containsBlank="1" containsNumber="1" minValue="-1.4892443463872128E-2" maxValue="1.0826210826210859E-2"/>
    </cacheField>
    <cacheField name="Average" numFmtId="0">
      <sharedItems containsSemiMixedTypes="0" containsString="0" containsNumber="1" minValue="171.13333333333335" maxValue="180.76666666666668"/>
    </cacheField>
    <cacheField name="% change Average" numFmtId="0">
      <sharedItems containsString="0" containsBlank="1" containsNumber="1" minValue="-8.9671514194118764E-3" maxValue="1.1741217854256643E-2"/>
    </cacheField>
    <cacheField name="Months (date)" numFmtId="0" databaseField="0">
      <fieldGroup base="3">
        <rangePr groupBy="months" startDate="2022-05-01T00:00:00" endDate="2023-05-02T00:00:00"/>
        <groupItems count="14">
          <s v="&lt;01-05-2022"/>
          <s v="Jan"/>
          <s v="Feb"/>
          <s v="Mar"/>
          <s v="Apr"/>
          <s v="May"/>
          <s v="Jun"/>
          <s v="Jul"/>
          <s v="Aug"/>
          <s v="Sep"/>
          <s v="Oct"/>
          <s v="Nov"/>
          <s v="Dec"/>
          <s v="&gt;02-05-2023"/>
        </groupItems>
      </fieldGroup>
    </cacheField>
    <cacheField name="Quarters (date)" numFmtId="0" databaseField="0">
      <fieldGroup base="3">
        <rangePr groupBy="quarters" startDate="2022-05-01T00:00:00" endDate="2023-05-02T00:00:00"/>
        <groupItems count="6">
          <s v="&lt;01-05-2022"/>
          <s v="Qtr1"/>
          <s v="Qtr2"/>
          <s v="Qtr3"/>
          <s v="Qtr4"/>
          <s v="&gt;02-05-2023"/>
        </groupItems>
      </fieldGroup>
    </cacheField>
    <cacheField name="Years (date)" numFmtId="0" databaseField="0">
      <fieldGroup base="3">
        <rangePr groupBy="years" startDate="2022-05-01T00:00:00" endDate="2023-05-02T00:00:00"/>
        <groupItems count="4">
          <s v="&lt;01-05-2022"/>
          <s v="2022"/>
          <s v="2023"/>
          <s v="&gt;02-05-2023"/>
        </groupItems>
      </fieldGroup>
    </cacheField>
  </cacheFields>
  <extLst>
    <ext xmlns:x14="http://schemas.microsoft.com/office/spreadsheetml/2009/9/main" uri="{725AE2AE-9491-48be-B2B4-4EB974FC3084}">
      <x14:pivotCacheDefinition pivotCacheId="13386128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s v="Cereals and products"/>
    <n v="173.2"/>
    <n v="174.7"/>
    <n v="173.7"/>
  </r>
  <r>
    <x v="0"/>
    <s v="Meat and fish"/>
    <n v="211.5"/>
    <n v="219.4"/>
    <n v="214.3"/>
  </r>
  <r>
    <x v="0"/>
    <s v="Egg"/>
    <n v="171"/>
    <n v="176.7"/>
    <n v="173.2"/>
  </r>
  <r>
    <x v="0"/>
    <s v="Milk and products"/>
    <n v="179.6"/>
    <n v="179.4"/>
    <n v="179.5"/>
  </r>
  <r>
    <x v="0"/>
    <s v="Oils and fats"/>
    <n v="173.3"/>
    <n v="164.4"/>
    <n v="170"/>
  </r>
  <r>
    <x v="0"/>
    <s v="Fruits"/>
    <n v="169"/>
    <n v="175.8"/>
    <n v="172.2"/>
  </r>
  <r>
    <x v="0"/>
    <s v="Vegetables"/>
    <n v="148.69999999999999"/>
    <n v="185"/>
    <n v="161"/>
  </r>
  <r>
    <x v="0"/>
    <s v="Pulses and products"/>
    <n v="174.9"/>
    <n v="176.9"/>
    <n v="175.6"/>
  </r>
  <r>
    <x v="0"/>
    <s v="Sugar and Confectionery"/>
    <n v="121.9"/>
    <n v="124.2"/>
    <n v="122.7"/>
  </r>
  <r>
    <x v="0"/>
    <s v="Spices"/>
    <n v="221"/>
    <n v="211.9"/>
    <n v="218"/>
  </r>
  <r>
    <x v="1"/>
    <s v="Non-alcoholic beverages"/>
    <n v="178.7"/>
    <n v="165.9"/>
    <n v="173.4"/>
  </r>
  <r>
    <x v="0"/>
    <s v="Prepared meals, snacks, sweets etc."/>
    <n v="191.1"/>
    <n v="197.7"/>
    <n v="194.2"/>
  </r>
  <r>
    <x v="0"/>
    <s v="Food and beverages"/>
    <n v="176.8"/>
    <n v="183.1"/>
    <n v="179.1"/>
  </r>
  <r>
    <x v="1"/>
    <s v="Pan, tobacco and intoxicants"/>
    <n v="199.9"/>
    <n v="204.2"/>
    <n v="201"/>
  </r>
  <r>
    <x v="2"/>
    <s v="Clothing"/>
    <n v="191.2"/>
    <n v="181.3"/>
    <n v="187.3"/>
  </r>
  <r>
    <x v="2"/>
    <s v="Footwear"/>
    <n v="187.9"/>
    <n v="168.1"/>
    <n v="179.7"/>
  </r>
  <r>
    <x v="2"/>
    <s v="Clothing and footwear"/>
    <n v="190.8"/>
    <n v="179.3"/>
    <n v="186.2"/>
  </r>
  <r>
    <x v="3"/>
    <s v="Housing"/>
    <s v="-"/>
    <n v="175.6"/>
    <n v="175.6"/>
  </r>
  <r>
    <x v="4"/>
    <s v="Fuel and light"/>
    <n v="182.5"/>
    <n v="183.4"/>
    <n v="182.8"/>
  </r>
  <r>
    <x v="3"/>
    <s v="Household goods and services"/>
    <n v="179.8"/>
    <n v="170.1"/>
    <n v="175.2"/>
  </r>
  <r>
    <x v="5"/>
    <s v="Health"/>
    <n v="187.8"/>
    <n v="182.2"/>
    <n v="185.7"/>
  </r>
  <r>
    <x v="6"/>
    <s v="Transport and communication"/>
    <n v="169.7"/>
    <n v="160.4"/>
    <n v="164.8"/>
  </r>
  <r>
    <x v="1"/>
    <s v="Recreation and amusement"/>
    <n v="173.8"/>
    <n v="169.2"/>
    <n v="171.2"/>
  </r>
  <r>
    <x v="7"/>
    <s v="Education"/>
    <n v="180.3"/>
    <n v="174.8"/>
    <n v="177.1"/>
  </r>
  <r>
    <x v="8"/>
    <s v="Personal care and effects"/>
    <n v="184.9"/>
    <n v="185.6"/>
    <n v="185.2"/>
  </r>
  <r>
    <x v="9"/>
    <s v="Miscellaneous"/>
    <n v="179.5"/>
    <n v="171.6"/>
    <n v="175.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s v="Pre-Covid"/>
    <x v="0"/>
    <s v="March"/>
    <n v="1937.0999999999997"/>
    <n v="3.4388850323062638E-2"/>
    <n v="136.69999999999999"/>
    <n v="4.6707503828483876E-2"/>
    <n v="1254.7"/>
    <n v="5.1277754503560993E-2"/>
  </r>
  <r>
    <x v="0"/>
    <s v="Pre-Covid"/>
    <x v="1"/>
    <s v="March"/>
    <n v="1924.1000000000004"/>
    <n v="-6.7110629291204996E-3"/>
    <n v="150.4"/>
    <n v="0.10021945866861755"/>
    <n v="1306.5999999999999"/>
    <n v="4.1364469594325229E-2"/>
  </r>
  <r>
    <x v="0"/>
    <s v="Covid"/>
    <x v="2"/>
    <s v="March"/>
    <n v="2065.0999999999995"/>
    <n v="7.328101450028536E-2"/>
    <n v="156.69999999999999"/>
    <n v="4.1888297872340309E-2"/>
    <n v="1351.7"/>
    <n v="3.4517067197306094E-2"/>
  </r>
  <r>
    <x v="0"/>
    <s v="Post Covid"/>
    <x v="3"/>
    <s v="March"/>
    <n v="2211.8000000000002"/>
    <n v="7.1037722144206464E-2"/>
    <n v="164.6"/>
    <n v="5.0414805360561622E-2"/>
    <n v="1409.6999999999998"/>
    <n v="4.290892949618981E-2"/>
  </r>
  <r>
    <x v="0"/>
    <s v="Post Covid"/>
    <x v="4"/>
    <s v="March"/>
    <n v="2371.4000000000005"/>
    <n v="7.2158423003888389E-2"/>
    <n v="176"/>
    <n v="6.9258809234507931E-2"/>
    <n v="1525.7"/>
    <n v="8.228701142086986E-2"/>
  </r>
  <r>
    <x v="1"/>
    <s v="Pre-Covid"/>
    <x v="0"/>
    <s v="March"/>
    <n v="1875.2"/>
    <n v="1.1871357651629737E-2"/>
    <n v="130.5"/>
    <n v="6.0113728675873321E-2"/>
    <n v="1306.8999999999999"/>
    <n v="4.2850303223747062E-2"/>
  </r>
  <r>
    <x v="1"/>
    <s v="Pre-Covid"/>
    <x v="1"/>
    <s v="March"/>
    <n v="1933.7"/>
    <n v="3.1196672354948805E-2"/>
    <n v="139.19999999999999"/>
    <n v="6.6666666666666582E-2"/>
    <n v="1362.9999999999998"/>
    <n v="4.2926008110796478E-2"/>
  </r>
  <r>
    <x v="1"/>
    <s v="Covid"/>
    <x v="2"/>
    <s v="March"/>
    <n v="2071.8000000000002"/>
    <n v="7.1417489786419888E-2"/>
    <n v="145"/>
    <n v="4.1666666666666755E-2"/>
    <n v="1424.1"/>
    <n v="4.4827586206896662E-2"/>
  </r>
  <r>
    <x v="1"/>
    <s v="Post Covid"/>
    <x v="3"/>
    <s v="March"/>
    <n v="2257.9999999999995"/>
    <n v="8.9873539916980091E-2"/>
    <n v="156.9"/>
    <n v="8.2068965517241424E-2"/>
    <n v="1511.1"/>
    <n v="6.109121550452918E-2"/>
  </r>
  <r>
    <x v="1"/>
    <s v="Post Covid"/>
    <x v="4"/>
    <s v="March"/>
    <n v="2393.8000000000002"/>
    <n v="6.0141718334809857E-2"/>
    <n v="168.2"/>
    <n v="7.2020395156150302E-2"/>
    <n v="1617.5"/>
    <n v="7.041228244325333E-2"/>
  </r>
  <r>
    <x v="2"/>
    <s v="Pre-Covid"/>
    <x v="0"/>
    <s v="March"/>
    <n v="1912.3"/>
    <n v="2.5912017167381951E-2"/>
    <n v="134.30000000000001"/>
    <n v="5.0860719874804491E-2"/>
    <n v="1357.1000000000001"/>
    <n v="4.9087816944959985E-2"/>
  </r>
  <r>
    <x v="2"/>
    <s v="Pre-Covid"/>
    <x v="1"/>
    <s v="March"/>
    <n v="1926.4"/>
    <n v="7.3733200857606738E-3"/>
    <n v="146.19999999999999"/>
    <n v="8.8607594936708681E-2"/>
    <n v="1413"/>
    <n v="4.1190774445508699E-2"/>
  </r>
  <r>
    <x v="2"/>
    <s v="Covid"/>
    <x v="2"/>
    <s v="March"/>
    <n v="2066.6"/>
    <n v="7.2778239202657705E-2"/>
    <n v="152.30000000000001"/>
    <n v="4.1723666210670474E-2"/>
    <n v="1467.6"/>
    <n v="3.8641188959660233E-2"/>
  </r>
  <r>
    <x v="2"/>
    <s v="Post Covid"/>
    <x v="3"/>
    <s v="March"/>
    <n v="2227.5"/>
    <n v="7.7857350237104467E-2"/>
    <n v="161.69999999999999"/>
    <n v="6.1720288903479817E-2"/>
    <n v="1541.5"/>
    <n v="5.0354319978195762E-2"/>
  </r>
  <r>
    <x v="2"/>
    <s v="Post Covid"/>
    <x v="4"/>
    <s v="March"/>
    <n v="2377.9"/>
    <n v="6.7519640852974225E-2"/>
    <n v="173"/>
    <n v="6.9882498453927105E-2"/>
    <n v="1657.5"/>
    <n v="7.5251378527408375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n v="2022"/>
    <s v="May"/>
    <x v="0"/>
    <n v="152.9"/>
    <m/>
    <n v="214.7"/>
    <m/>
    <n v="161.4"/>
    <m/>
    <n v="164.6"/>
    <m/>
    <n v="209.9"/>
    <m/>
    <n v="168"/>
    <m/>
    <n v="160.4"/>
    <m/>
    <n v="165"/>
    <m/>
    <n v="118.9"/>
    <m/>
    <n v="186.6"/>
    <m/>
    <n v="180.4"/>
    <m/>
    <n v="170.8"/>
    <m/>
    <n v="171.13333333333335"/>
    <m/>
  </r>
  <r>
    <x v="0"/>
    <n v="2022"/>
    <s v="June"/>
    <x v="1"/>
    <n v="153.80000000000001"/>
    <n v="5.8862001308044847E-3"/>
    <n v="217.2"/>
    <n v="1.1644154634373545E-2"/>
    <n v="169.6"/>
    <n v="5.0805452292441065E-2"/>
    <n v="165.4"/>
    <n v="4.8602673147023776E-3"/>
    <n v="208.1"/>
    <n v="-8.5755121486422638E-3"/>
    <n v="165.8"/>
    <n v="-1.3095238095238028E-2"/>
    <n v="167.3"/>
    <n v="4.3017456359102278E-2"/>
    <n v="164.6"/>
    <n v="-2.4242424242424585E-3"/>
    <n v="119.1"/>
    <n v="1.6820857863750094E-3"/>
    <n v="188.9"/>
    <n v="1.2325830653804992E-2"/>
    <n v="181.9"/>
    <n v="8.3148558758314849E-3"/>
    <n v="172.4"/>
    <n v="9.3676814988290051E-3"/>
    <n v="172.84166666666667"/>
    <n v="9.9824698091155878E-3"/>
  </r>
  <r>
    <x v="0"/>
    <n v="2022"/>
    <s v="July"/>
    <x v="2"/>
    <n v="155.19999999999999"/>
    <n v="9.102730819245626E-3"/>
    <n v="210.8"/>
    <n v="-2.9465930018416103E-2"/>
    <n v="174.3"/>
    <n v="2.7712264150943498E-2"/>
    <n v="166.3"/>
    <n v="5.4413542926239761E-3"/>
    <n v="202.2"/>
    <n v="-2.8351753964440202E-2"/>
    <n v="169.6"/>
    <n v="2.2919179734619918E-2"/>
    <n v="168.6"/>
    <n v="7.770472205618547E-3"/>
    <n v="164.4"/>
    <n v="-1.2150668286755081E-3"/>
    <n v="119.2"/>
    <n v="8.3963056255254855E-4"/>
    <n v="191.8"/>
    <n v="1.5352038115405005E-2"/>
    <n v="183.1"/>
    <n v="6.5970313358987825E-3"/>
    <n v="172.5"/>
    <n v="5.80046403712264E-4"/>
    <n v="173.16666666666666"/>
    <n v="1.8803336386865935E-3"/>
  </r>
  <r>
    <x v="0"/>
    <n v="2022"/>
    <s v="August"/>
    <x v="3"/>
    <n v="159.5"/>
    <n v="2.7706185567010384E-2"/>
    <n v="204.1"/>
    <n v="-3.1783681214421329E-2"/>
    <n v="168.3"/>
    <n v="-3.4423407917383818E-2"/>
    <n v="167.9"/>
    <n v="9.6211665664461474E-3"/>
    <n v="198.1"/>
    <n v="-2.0276953511374849E-2"/>
    <n v="169.2"/>
    <n v="-2.3584905660377696E-3"/>
    <n v="173.1"/>
    <n v="2.6690391459074734E-2"/>
    <n v="167.1"/>
    <n v="1.6423357664233508E-2"/>
    <n v="120.2"/>
    <n v="8.389261744966443E-3"/>
    <n v="195.6"/>
    <n v="1.981230448383724E-2"/>
    <n v="184"/>
    <n v="4.9153468050246079E-3"/>
    <n v="173.9"/>
    <n v="8.1159420289855407E-3"/>
    <n v="173.41666666666666"/>
    <n v="1.4436958614051974E-3"/>
  </r>
  <r>
    <x v="0"/>
    <n v="2022"/>
    <s v="September"/>
    <x v="4"/>
    <n v="162.9"/>
    <n v="2.1316614420062732E-2"/>
    <n v="206.7"/>
    <n v="1.2738853503184686E-2"/>
    <n v="169"/>
    <n v="4.1592394533570328E-3"/>
    <n v="169.5"/>
    <n v="9.5294818344252193E-3"/>
    <n v="194.1"/>
    <n v="-2.0191822311963654E-2"/>
    <n v="164.1"/>
    <n v="-3.0141843971631173E-2"/>
    <n v="176.9"/>
    <n v="2.1952628538417167E-2"/>
    <n v="169"/>
    <n v="1.1370436864153236E-2"/>
    <n v="120.8"/>
    <n v="4.9916805324458757E-3"/>
    <n v="199.1"/>
    <n v="1.7893660531697341E-2"/>
    <n v="184.8"/>
    <n v="4.3478260869565834E-3"/>
    <n v="175.5"/>
    <n v="9.2006900517538487E-3"/>
    <n v="174.36666666666665"/>
    <n v="5.4781355117731207E-3"/>
  </r>
  <r>
    <x v="0"/>
    <n v="2022"/>
    <s v="October"/>
    <x v="5"/>
    <n v="164.7"/>
    <n v="1.1049723756905973E-2"/>
    <n v="208.8"/>
    <n v="1.0159651669085742E-2"/>
    <n v="170.3"/>
    <n v="7.6923076923077595E-3"/>
    <n v="170.9"/>
    <n v="8.2595870206490004E-3"/>
    <n v="191.6"/>
    <n v="-1.2879958784131892E-2"/>
    <n v="162.19999999999999"/>
    <n v="-1.1578305911029894E-2"/>
    <n v="184.8"/>
    <n v="4.4657998869417778E-2"/>
    <n v="169.7"/>
    <n v="4.1420118343194591E-3"/>
    <n v="121.1"/>
    <n v="2.4834437086092482E-3"/>
    <n v="201.6"/>
    <n v="1.2556504269211451E-2"/>
    <n v="185.6"/>
    <n v="4.3290043290042362E-3"/>
    <n v="177.4"/>
    <n v="1.0826210826210859E-2"/>
    <n v="175.72499999999999"/>
    <n v="7.7900974956988068E-3"/>
  </r>
  <r>
    <x v="0"/>
    <n v="2022"/>
    <s v="November"/>
    <x v="6"/>
    <n v="166.9"/>
    <n v="1.3357619914997069E-2"/>
    <n v="207.2"/>
    <n v="-7.6628352490422545E-3"/>
    <n v="180.2"/>
    <n v="5.8132706987668682E-2"/>
    <n v="172.3"/>
    <n v="8.1919251023990971E-3"/>
    <n v="194"/>
    <n v="1.2526096033402953E-2"/>
    <n v="159.1"/>
    <n v="-1.9112207151664579E-2"/>
    <n v="171.6"/>
    <n v="-7.1428571428571522E-2"/>
    <n v="170.2"/>
    <n v="2.9463759575721863E-3"/>
    <n v="121.5"/>
    <n v="3.3030553261767606E-3"/>
    <n v="204.8"/>
    <n v="1.5873015873015959E-2"/>
    <n v="186.9"/>
    <n v="7.0043103448276479E-3"/>
    <n v="176.6"/>
    <n v="-4.5095828635851824E-3"/>
    <n v="175.94166666666663"/>
    <n v="1.2329871484799554E-3"/>
  </r>
  <r>
    <x v="0"/>
    <n v="2022"/>
    <s v="December"/>
    <x v="7"/>
    <n v="168.8"/>
    <n v="1.1384062312762167E-2"/>
    <n v="206.9"/>
    <n v="-1.4478764478763656E-3"/>
    <n v="189.1"/>
    <n v="4.9389567147613798E-2"/>
    <n v="173.4"/>
    <n v="6.3842135809634021E-3"/>
    <n v="193.9"/>
    <n v="-5.1546391752574393E-4"/>
    <n v="156.69999999999999"/>
    <n v="-1.5084852294154657E-2"/>
    <n v="150.19999999999999"/>
    <n v="-0.12470862470862475"/>
    <n v="170.5"/>
    <n v="1.7626321974148729E-3"/>
    <n v="121.2"/>
    <n v="-2.4691358024691123E-3"/>
    <n v="207.5"/>
    <n v="1.3183593749999944E-2"/>
    <n v="187.7"/>
    <n v="4.2803638309255373E-3"/>
    <n v="174.4"/>
    <n v="-1.2457531143827796E-2"/>
    <n v="175.02500000000001"/>
    <n v="-5.2100601525124557E-3"/>
  </r>
  <r>
    <x v="0"/>
    <n v="2023"/>
    <s v="January"/>
    <x v="8"/>
    <n v="174"/>
    <n v="3.0805687203791399E-2"/>
    <n v="208.3"/>
    <n v="6.7665538907685143E-3"/>
    <n v="192.9"/>
    <n v="2.009518773135913E-2"/>
    <n v="174.3"/>
    <n v="5.1903114186851538E-3"/>
    <n v="192.6"/>
    <n v="-6.7044868488912394E-3"/>
    <n v="156.30000000000001"/>
    <n v="-2.5526483726865173E-3"/>
    <n v="142.9"/>
    <n v="-4.8601864181091768E-2"/>
    <n v="170.7"/>
    <n v="1.173020527859171E-3"/>
    <n v="120.3"/>
    <n v="-7.4257425742574722E-3"/>
    <n v="210.5"/>
    <n v="1.4457831325301205E-2"/>
    <n v="188.5"/>
    <n v="4.2621204049014989E-3"/>
    <n v="175"/>
    <n v="3.4403669724770315E-3"/>
    <n v="175.52500000000001"/>
    <n v="2.8567347521782603E-3"/>
  </r>
  <r>
    <x v="0"/>
    <n v="2023"/>
    <s v="February"/>
    <x v="9"/>
    <n v="174.2"/>
    <n v="1.1494252873562566E-3"/>
    <n v="205.2"/>
    <n v="-1.4882381180989066E-2"/>
    <n v="173.9"/>
    <n v="-9.8496630378434424E-2"/>
    <n v="177"/>
    <n v="1.5490533562822654E-2"/>
    <n v="183.4"/>
    <n v="-4.7767393561786026E-2"/>
    <n v="167.2"/>
    <n v="6.973768394113869E-2"/>
    <n v="140.9"/>
    <n v="-1.3995801259622112E-2"/>
    <n v="170.4"/>
    <n v="-1.7574692442881251E-3"/>
    <n v="119.1"/>
    <n v="-9.9750623441396749E-3"/>
    <n v="212.1"/>
    <n v="7.6009501187648187E-3"/>
    <n v="189.9"/>
    <n v="7.4270557029178022E-3"/>
    <n v="174.8"/>
    <n v="-1.1428571428570779E-3"/>
    <n v="174.00833333333333"/>
    <n v="-8.6407444333666417E-3"/>
  </r>
  <r>
    <x v="0"/>
    <n v="2023"/>
    <s v="March"/>
    <x v="10"/>
    <n v="174.3"/>
    <n v="5.7405281285891356E-4"/>
    <n v="205.2"/>
    <n v="0"/>
    <n v="173.9"/>
    <n v="0"/>
    <n v="177"/>
    <n v="0"/>
    <n v="183.3"/>
    <n v="-5.4525627044707916E-4"/>
    <n v="167.2"/>
    <n v="0"/>
    <n v="140.9"/>
    <n v="0"/>
    <n v="170.5"/>
    <n v="5.8685446009386333E-4"/>
    <n v="119.1"/>
    <n v="0"/>
    <n v="212.1"/>
    <n v="0"/>
    <n v="189.9"/>
    <n v="0"/>
    <n v="174.8"/>
    <n v="0"/>
    <n v="174.01666666666668"/>
    <n v="4.7890426703821708E-5"/>
  </r>
  <r>
    <x v="0"/>
    <n v="2023"/>
    <s v="April"/>
    <x v="11"/>
    <n v="173.3"/>
    <n v="-5.737234652897303E-3"/>
    <n v="206.9"/>
    <n v="8.2846003898636306E-3"/>
    <n v="167.9"/>
    <n v="-3.4502587694077054E-2"/>
    <n v="178.2"/>
    <n v="6.7796610169490882E-3"/>
    <n v="178.5"/>
    <n v="-2.61865793780688E-2"/>
    <n v="173.7"/>
    <n v="3.8875598086124404E-2"/>
    <n v="142.80000000000001"/>
    <n v="1.3484740951029138E-2"/>
    <n v="172.8"/>
    <n v="1.3489736070381298E-2"/>
    <n v="120.4"/>
    <n v="1.0915197313182296E-2"/>
    <n v="215.5"/>
    <n v="1.6030174446016059E-2"/>
    <n v="190.5"/>
    <n v="3.1595576619273002E-3"/>
    <n v="175.5"/>
    <n v="4.0045766590388367E-3"/>
    <n v="174.66666666666666"/>
    <n v="3.7352743990037959E-3"/>
  </r>
  <r>
    <x v="0"/>
    <n v="2023"/>
    <s v="May"/>
    <x v="12"/>
    <n v="173.2"/>
    <n v="-5.7703404500878666E-4"/>
    <n v="211.5"/>
    <n v="2.2232962783953574E-2"/>
    <n v="171"/>
    <n v="1.8463371054198895E-2"/>
    <n v="179.6"/>
    <n v="7.8563411896745549E-3"/>
    <n v="173.3"/>
    <n v="-2.913165266106436E-2"/>
    <n v="169"/>
    <n v="-2.7058146229130622E-2"/>
    <n v="148.69999999999999"/>
    <n v="4.1316526610644097E-2"/>
    <n v="174.9"/>
    <n v="1.2152777777777743E-2"/>
    <n v="121.9"/>
    <n v="1.2458471760797342E-2"/>
    <n v="221"/>
    <n v="2.5522041763341066E-2"/>
    <n v="191.1"/>
    <n v="3.1496062992125685E-3"/>
    <n v="176.8"/>
    <n v="7.4074074074074719E-3"/>
    <n v="176.00000000000003"/>
    <n v="7.6335877862597594E-3"/>
  </r>
  <r>
    <x v="1"/>
    <n v="2022"/>
    <s v="May"/>
    <x v="0"/>
    <n v="154.1"/>
    <m/>
    <n v="217"/>
    <m/>
    <n v="162.4"/>
    <m/>
    <n v="164.9"/>
    <m/>
    <n v="202.4"/>
    <m/>
    <n v="171"/>
    <m/>
    <n v="174.9"/>
    <m/>
    <n v="164.7"/>
    <m/>
    <n v="119.7"/>
    <m/>
    <n v="184.9"/>
    <m/>
    <n v="182.5"/>
    <m/>
    <n v="173.3"/>
    <m/>
    <n v="172.65"/>
    <m/>
  </r>
  <r>
    <x v="1"/>
    <n v="2022"/>
    <s v="June"/>
    <x v="1"/>
    <n v="155"/>
    <n v="5.8403634003893947E-3"/>
    <n v="219.4"/>
    <n v="1.1059907834101408E-2"/>
    <n v="170.8"/>
    <n v="5.1724137931034517E-2"/>
    <n v="165.8"/>
    <n v="5.4578532443905741E-3"/>
    <n v="200.9"/>
    <n v="-7.411067193675889E-3"/>
    <n v="169.7"/>
    <n v="-7.6023391812866164E-3"/>
    <n v="182.3"/>
    <n v="4.230989136649517E-2"/>
    <n v="164.3"/>
    <n v="-2.4286581663629466E-3"/>
    <n v="119.9"/>
    <n v="1.6708437761069578E-3"/>
    <n v="187.1"/>
    <n v="1.1898323418063756E-2"/>
    <n v="183.9"/>
    <n v="7.6712328767123599E-3"/>
    <n v="174.9"/>
    <n v="9.2325447201384546E-3"/>
    <n v="174.5"/>
    <n v="1.0715320011584097E-2"/>
  </r>
  <r>
    <x v="1"/>
    <n v="2022"/>
    <s v="July"/>
    <x v="2"/>
    <n v="156.5"/>
    <n v="9.6774193548387101E-3"/>
    <n v="213"/>
    <n v="-2.9170464904284436E-2"/>
    <n v="175.2"/>
    <n v="2.5761124121779725E-2"/>
    <n v="166.6"/>
    <n v="4.8250904704462173E-3"/>
    <n v="195.8"/>
    <n v="-2.5385764061722219E-2"/>
    <n v="174.2"/>
    <n v="2.6517383618149679E-2"/>
    <n v="182.1"/>
    <n v="-1.0970927043336097E-3"/>
    <n v="164.3"/>
    <n v="0"/>
    <n v="120"/>
    <n v="8.3402835696408937E-4"/>
    <n v="190"/>
    <n v="1.5499732763228252E-2"/>
    <n v="185.2"/>
    <n v="7.0690592713430287E-3"/>
    <n v="175"/>
    <n v="5.7175528873638828E-4"/>
    <n v="174.82500000000002"/>
    <n v="1.8624641833811866E-3"/>
  </r>
  <r>
    <x v="1"/>
    <n v="2022"/>
    <s v="August"/>
    <x v="3"/>
    <n v="160.30000000000001"/>
    <n v="2.4281150159744483E-2"/>
    <n v="206.5"/>
    <n v="-3.0516431924882629E-2"/>
    <n v="169.2"/>
    <n v="-3.4246575342465758E-2"/>
    <n v="168.1"/>
    <n v="9.00360144057623E-3"/>
    <n v="192.4"/>
    <n v="-1.7364657814096043E-2"/>
    <n v="172.9"/>
    <n v="-7.4626865671640818E-3"/>
    <n v="186.7"/>
    <n v="2.5260845689181737E-2"/>
    <n v="167.2"/>
    <n v="1.7650639074862917E-2"/>
    <n v="120.9"/>
    <n v="7.5000000000000474E-3"/>
    <n v="193.6"/>
    <n v="1.8947368421052602E-2"/>
    <n v="186.3"/>
    <n v="5.9395248380130824E-3"/>
    <n v="176.3"/>
    <n v="7.4285714285714935E-3"/>
    <n v="175.03333333333333"/>
    <n v="1.1916678583344165E-3"/>
  </r>
  <r>
    <x v="1"/>
    <n v="2022"/>
    <s v="September"/>
    <x v="4"/>
    <n v="163.5"/>
    <n v="1.9962570180910719E-2"/>
    <n v="209.2"/>
    <n v="1.3075060532687597E-2"/>
    <n v="169.7"/>
    <n v="2.9550827423167852E-3"/>
    <n v="169.7"/>
    <n v="9.5181439619273899E-3"/>
    <n v="188.7"/>
    <n v="-1.9230769230769319E-2"/>
    <n v="165.7"/>
    <n v="-4.1642567958357531E-2"/>
    <n v="191.8"/>
    <n v="2.7316550615961558E-2"/>
    <n v="169.1"/>
    <n v="1.1363636363636399E-2"/>
    <n v="121.6"/>
    <n v="5.7899090157153728E-3"/>
    <n v="197.3"/>
    <n v="1.9111570247933973E-2"/>
    <n v="187.4"/>
    <n v="5.9044551798174676E-3"/>
    <n v="177.8"/>
    <n v="8.5082246171298923E-3"/>
    <n v="175.95833333333334"/>
    <n v="5.2847076747286883E-3"/>
  </r>
  <r>
    <x v="1"/>
    <n v="2022"/>
    <s v="October"/>
    <x v="5"/>
    <n v="165.2"/>
    <n v="1.0397553516819502E-2"/>
    <n v="210.9"/>
    <n v="8.1261950286807706E-3"/>
    <n v="170.9"/>
    <n v="7.0713022981733478E-3"/>
    <n v="170.9"/>
    <n v="7.0713022981733478E-3"/>
    <n v="186.5"/>
    <n v="-1.1658717541070422E-2"/>
    <n v="163.80000000000001"/>
    <n v="-1.1466505733252729E-2"/>
    <n v="199.7"/>
    <n v="4.118873826903012E-2"/>
    <n v="169.8"/>
    <n v="4.1395623891189656E-3"/>
    <n v="121.9"/>
    <n v="2.4671052631579883E-3"/>
    <n v="199.9"/>
    <n v="1.3177901672579798E-2"/>
    <n v="188.3"/>
    <n v="4.8025613660619302E-3"/>
    <n v="179.6"/>
    <n v="1.0123734533183255E-2"/>
    <n v="177.28333333333333"/>
    <n v="7.5301918067723714E-3"/>
  </r>
  <r>
    <x v="1"/>
    <n v="2022"/>
    <s v="November"/>
    <x v="6"/>
    <n v="167.4"/>
    <n v="1.3317191283293082E-2"/>
    <n v="209.4"/>
    <n v="-7.1123755334281651E-3"/>
    <n v="181.4"/>
    <n v="6.1439438267992974E-2"/>
    <n v="172.3"/>
    <n v="8.1919251023990971E-3"/>
    <n v="188.9"/>
    <n v="1.286863270777483E-2"/>
    <n v="160.69999999999999"/>
    <n v="-1.8925518925519063E-2"/>
    <n v="183.1"/>
    <n v="-8.3124687030545791E-2"/>
    <n v="170.5"/>
    <n v="4.1224970553591792E-3"/>
    <n v="122.1"/>
    <n v="1.640689089417462E-3"/>
    <n v="202.8"/>
    <n v="1.4507253626813434E-2"/>
    <n v="189.5"/>
    <n v="6.3728093467869812E-3"/>
    <n v="178.3"/>
    <n v="-7.2383073496658295E-3"/>
    <n v="177.19999999999996"/>
    <n v="-4.7005734699654729E-4"/>
  </r>
  <r>
    <x v="1"/>
    <n v="2022"/>
    <s v="December"/>
    <x v="7"/>
    <n v="169.2"/>
    <n v="1.0752688172042909E-2"/>
    <n v="209"/>
    <n v="-1.9102196752626823E-3"/>
    <n v="190.2"/>
    <n v="4.8511576626240255E-2"/>
    <n v="173.6"/>
    <n v="7.5449796865930518E-3"/>
    <n v="188.5"/>
    <n v="-2.1175224986765785E-3"/>
    <n v="158"/>
    <n v="-1.6801493466085806E-2"/>
    <n v="159.9"/>
    <n v="-0.12670671764063349"/>
    <n v="170.8"/>
    <n v="1.7595307917889231E-3"/>
    <n v="121.8"/>
    <n v="-2.457002457002434E-3"/>
    <n v="205.2"/>
    <n v="1.1834319526627106E-2"/>
    <n v="190.3"/>
    <n v="4.2216358839050729E-3"/>
    <n v="175.9"/>
    <n v="-1.3460459899046581E-2"/>
    <n v="176.03333333333333"/>
    <n v="-6.5838976674188997E-3"/>
  </r>
  <r>
    <x v="1"/>
    <n v="2023"/>
    <s v="January"/>
    <x v="8"/>
    <n v="173.8"/>
    <n v="2.7186761229314557E-2"/>
    <n v="210.7"/>
    <n v="8.1339712918659744E-3"/>
    <n v="194.5"/>
    <n v="2.2607781282860208E-2"/>
    <n v="174.6"/>
    <n v="5.7603686635944703E-3"/>
    <n v="187.2"/>
    <n v="-6.8965517241379917E-3"/>
    <n v="158.30000000000001"/>
    <n v="1.8987341772152618E-3"/>
    <n v="153.9"/>
    <n v="-3.7523452157598496E-2"/>
    <n v="170.9"/>
    <n v="5.854800936767817E-4"/>
    <n v="121.1"/>
    <n v="-5.7471264367816325E-3"/>
    <n v="208.4"/>
    <n v="1.5594541910331468E-2"/>
    <n v="191.2"/>
    <n v="4.7293746715710832E-3"/>
    <n v="176.7"/>
    <n v="4.5480386583284984E-3"/>
    <n v="176.77500000000001"/>
    <n v="4.2132171937133553E-3"/>
  </r>
  <r>
    <x v="1"/>
    <n v="2023"/>
    <s v="February"/>
    <x v="9"/>
    <n v="174.4"/>
    <n v="3.4522439585730398E-3"/>
    <n v="207.7"/>
    <n v="-1.423825344091125E-2"/>
    <n v="175.2"/>
    <n v="-9.9228791773778982E-2"/>
    <n v="177.3"/>
    <n v="1.5463917525773294E-2"/>
    <n v="179.3"/>
    <n v="-4.2200854700854579E-2"/>
    <n v="169.5"/>
    <n v="7.0751737207833149E-2"/>
    <n v="152.69999999999999"/>
    <n v="-7.7972709551658026E-3"/>
    <n v="171"/>
    <n v="5.8513750731418557E-4"/>
    <n v="120"/>
    <n v="-9.0834021469859156E-3"/>
    <n v="209.7"/>
    <n v="6.2380038387715112E-3"/>
    <n v="193"/>
    <n v="9.4142259414226534E-3"/>
    <n v="177"/>
    <n v="1.6977928692700134E-3"/>
    <n v="175.56666666666669"/>
    <n v="-6.8354311035684588E-3"/>
  </r>
  <r>
    <x v="1"/>
    <n v="2023"/>
    <s v="March"/>
    <x v="10"/>
    <n v="174.4"/>
    <n v="0"/>
    <n v="207.7"/>
    <n v="0"/>
    <n v="175.2"/>
    <n v="0"/>
    <n v="177.3"/>
    <n v="0"/>
    <n v="179.2"/>
    <n v="-5.5772448410497898E-4"/>
    <n v="169.5"/>
    <n v="0"/>
    <n v="152.80000000000001"/>
    <n v="6.5487884741337755E-4"/>
    <n v="171.1"/>
    <n v="5.8479532163739363E-4"/>
    <n v="120"/>
    <n v="0"/>
    <n v="209.7"/>
    <n v="0"/>
    <n v="193"/>
    <n v="0"/>
    <n v="177"/>
    <n v="0"/>
    <n v="175.57499999999996"/>
    <n v="4.7465350293918221E-5"/>
  </r>
  <r>
    <x v="1"/>
    <n v="2023"/>
    <s v="April"/>
    <x v="11"/>
    <n v="173.8"/>
    <n v="-3.4403669724770315E-3"/>
    <n v="209.3"/>
    <n v="7.7034183919115207E-3"/>
    <n v="169.6"/>
    <n v="-3.1963470319634674E-2"/>
    <n v="178.4"/>
    <n v="6.2041737168640398E-3"/>
    <n v="174.9"/>
    <n v="-2.3995535714285622E-2"/>
    <n v="176.3"/>
    <n v="4.0117994100295054E-2"/>
    <n v="155.4"/>
    <n v="1.7015706806282685E-2"/>
    <n v="173.4"/>
    <n v="1.3442431326709593E-2"/>
    <n v="121.3"/>
    <n v="1.0833333333333309E-2"/>
    <n v="212.9"/>
    <n v="1.5259895088221351E-2"/>
    <n v="193.5"/>
    <n v="2.5906735751295338E-3"/>
    <n v="177.9"/>
    <n v="5.0847457627118961E-3"/>
    <n v="176.39166666666668"/>
    <n v="4.6513835492907303E-3"/>
  </r>
  <r>
    <x v="1"/>
    <n v="2023"/>
    <s v="May"/>
    <x v="12"/>
    <n v="173.7"/>
    <n v="-5.7537399309564284E-4"/>
    <n v="214.3"/>
    <n v="2.3889154323936932E-2"/>
    <n v="173.2"/>
    <n v="2.122641509433959E-2"/>
    <n v="179.5"/>
    <n v="6.1659192825111791E-3"/>
    <n v="170"/>
    <n v="-2.801600914808465E-2"/>
    <n v="172.2"/>
    <n v="-2.32558139534885E-2"/>
    <n v="161"/>
    <n v="3.6036036036036001E-2"/>
    <n v="175.6"/>
    <n v="1.2687427912341341E-2"/>
    <n v="122.7"/>
    <n v="1.1541632316570533E-2"/>
    <n v="218"/>
    <n v="2.3954908407703118E-2"/>
    <n v="194.2"/>
    <n v="3.6175710594314658E-3"/>
    <n v="179.1"/>
    <n v="6.7453625632377095E-3"/>
    <n v="177.79166666666666"/>
    <n v="7.9368828837339846E-3"/>
  </r>
  <r>
    <x v="2"/>
    <n v="2022"/>
    <s v="May"/>
    <x v="0"/>
    <n v="156.69999999999999"/>
    <m/>
    <n v="221.2"/>
    <m/>
    <n v="164.1"/>
    <m/>
    <n v="165.4"/>
    <m/>
    <n v="189.5"/>
    <m/>
    <n v="174.5"/>
    <m/>
    <n v="203.2"/>
    <m/>
    <n v="164.1"/>
    <m/>
    <n v="121.2"/>
    <m/>
    <n v="181.4"/>
    <m/>
    <n v="184.9"/>
    <m/>
    <n v="177.5"/>
    <m/>
    <n v="175.30833333333337"/>
    <m/>
  </r>
  <r>
    <x v="2"/>
    <n v="2022"/>
    <s v="June"/>
    <x v="1"/>
    <n v="157.5"/>
    <n v="5.105296745373398E-3"/>
    <n v="223.4"/>
    <n v="9.9457504520796443E-3"/>
    <n v="172.8"/>
    <n v="5.3016453382084203E-2"/>
    <n v="166.4"/>
    <n v="6.0459492140266021E-3"/>
    <n v="188.6"/>
    <n v="-4.74934036939317E-3"/>
    <n v="174.1"/>
    <n v="-2.2922636103152186E-3"/>
    <n v="211.5"/>
    <n v="4.0846456692913445E-2"/>
    <n v="163.6"/>
    <n v="-3.0469226081657527E-3"/>
    <n v="121.4"/>
    <n v="1.6501650165016736E-3"/>
    <n v="183.5"/>
    <n v="1.1576626240352779E-2"/>
    <n v="186.3"/>
    <n v="7.5716603569497328E-3"/>
    <n v="179.3"/>
    <n v="1.0140845070422599E-2"/>
    <n v="177.36666666666667"/>
    <n v="1.1741217854256643E-2"/>
  </r>
  <r>
    <x v="2"/>
    <n v="2022"/>
    <s v="July"/>
    <x v="2"/>
    <n v="159.30000000000001"/>
    <n v="1.1428571428571501E-2"/>
    <n v="217.1"/>
    <n v="-2.8200537153088682E-2"/>
    <n v="176.6"/>
    <n v="2.1990740740740641E-2"/>
    <n v="167.1"/>
    <n v="4.2067307692307005E-3"/>
    <n v="184.8"/>
    <n v="-2.014846235418867E-2"/>
    <n v="179.5"/>
    <n v="3.1016657093624389E-2"/>
    <n v="208.5"/>
    <n v="-1.4184397163120567E-2"/>
    <n v="164"/>
    <n v="2.4449877750611594E-3"/>
    <n v="121.5"/>
    <n v="8.2372322899501083E-4"/>
    <n v="186.3"/>
    <n v="1.5258855585831125E-2"/>
    <n v="187.7"/>
    <n v="7.514761137949421E-3"/>
    <n v="179.4"/>
    <n v="5.5772448410482047E-4"/>
    <n v="177.65"/>
    <n v="1.5974440894568583E-3"/>
  </r>
  <r>
    <x v="2"/>
    <n v="2022"/>
    <s v="August"/>
    <x v="3"/>
    <n v="162.1"/>
    <n v="1.7576898932831028E-2"/>
    <n v="210.9"/>
    <n v="-2.8558268079226113E-2"/>
    <n v="170.6"/>
    <n v="-3.3975084937712348E-2"/>
    <n v="168.4"/>
    <n v="7.7797725912627852E-3"/>
    <n v="182.5"/>
    <n v="-1.2445887445887507E-2"/>
    <n v="177.1"/>
    <n v="-1.3370473537604488E-2"/>
    <n v="213.1"/>
    <n v="2.206235011990405E-2"/>
    <n v="167.3"/>
    <n v="2.0121951219512265E-2"/>
    <n v="122.2"/>
    <n v="5.7613168724280073E-3"/>
    <n v="189.7"/>
    <n v="1.8250134192163054E-2"/>
    <n v="188.9"/>
    <n v="6.3931806073522493E-3"/>
    <n v="180.4"/>
    <n v="5.5741360089186171E-3"/>
    <n v="177.76666666666665"/>
    <n v="6.5672201895100374E-4"/>
  </r>
  <r>
    <x v="2"/>
    <n v="2022"/>
    <s v="September"/>
    <x v="4"/>
    <n v="164.9"/>
    <n v="1.7273288093769348E-2"/>
    <n v="213.7"/>
    <n v="1.3276434329065827E-2"/>
    <n v="170.9"/>
    <n v="1.7584994138335954E-3"/>
    <n v="170.1"/>
    <n v="1.0095011876484494E-2"/>
    <n v="179.3"/>
    <n v="-1.7534246575342402E-2"/>
    <n v="167.5"/>
    <n v="-5.4206662902315045E-2"/>
    <n v="220.8"/>
    <n v="3.6133270764899188E-2"/>
    <n v="169.2"/>
    <n v="1.1356843992827119E-2"/>
    <n v="123.1"/>
    <n v="7.3649754500817628E-3"/>
    <n v="193.6"/>
    <n v="2.0558777016341623E-2"/>
    <n v="190.4"/>
    <n v="7.9407093700370572E-3"/>
    <n v="181.8"/>
    <n v="7.7605321507760849E-3"/>
    <n v="178.77500000000001"/>
    <n v="5.6722295143447647E-3"/>
  </r>
  <r>
    <x v="2"/>
    <n v="2022"/>
    <s v="October"/>
    <x v="5"/>
    <n v="166.4"/>
    <n v="9.0964220739842318E-3"/>
    <n v="214.9"/>
    <n v="5.6153486195602113E-3"/>
    <n v="171.9"/>
    <n v="5.8513750731421883E-3"/>
    <n v="171"/>
    <n v="5.2910052910053245E-3"/>
    <n v="177.7"/>
    <n v="-8.9235917456777607E-3"/>
    <n v="165.7"/>
    <n v="-1.0746268656716487E-2"/>
    <n v="228.6"/>
    <n v="3.532608695652166E-2"/>
    <n v="169.9"/>
    <n v="4.1371158392436002E-3"/>
    <n v="123.4"/>
    <n v="2.4370430544273874E-3"/>
    <n v="196.4"/>
    <n v="1.4462809917355431E-2"/>
    <n v="191.5"/>
    <n v="5.7773109243697178E-3"/>
    <n v="183.3"/>
    <n v="8.2508250825082501E-3"/>
    <n v="180.05833333333337"/>
    <n v="7.1784831958235764E-3"/>
  </r>
  <r>
    <x v="2"/>
    <n v="2022"/>
    <s v="November"/>
    <x v="6"/>
    <n v="168.4"/>
    <n v="1.2019230769230768E-2"/>
    <n v="213.4"/>
    <n v="-6.9799906933457421E-3"/>
    <n v="183.2"/>
    <n v="6.5735892961023751E-2"/>
    <n v="172.3"/>
    <n v="7.6023391812866164E-3"/>
    <n v="180"/>
    <n v="1.2943162633652288E-2"/>
    <n v="162.6"/>
    <n v="-1.8708509354254645E-2"/>
    <n v="205.5"/>
    <n v="-0.10104986876640418"/>
    <n v="171"/>
    <n v="6.4743967039434629E-3"/>
    <n v="123.4"/>
    <n v="0"/>
    <n v="198.8"/>
    <n v="1.2219959266802473E-2"/>
    <n v="192.4"/>
    <n v="4.6997389033942858E-3"/>
    <n v="181.3"/>
    <n v="-1.0911074740861974E-2"/>
    <n v="179.35833333333335"/>
    <n v="-3.8876290091175098E-3"/>
  </r>
  <r>
    <x v="2"/>
    <n v="2022"/>
    <s v="December"/>
    <x v="7"/>
    <n v="170.2"/>
    <n v="1.0688836104512963E-2"/>
    <n v="212.9"/>
    <n v="-2.3430178069353325E-3"/>
    <n v="191.9"/>
    <n v="4.7489082969432411E-2"/>
    <n v="173.9"/>
    <n v="9.286128845037692E-3"/>
    <n v="179.1"/>
    <n v="-5.0000000000000313E-3"/>
    <n v="159.5"/>
    <n v="-1.9065190651906486E-2"/>
    <n v="178.7"/>
    <n v="-0.1304136253041363"/>
    <n v="171.3"/>
    <n v="1.7543859649123471E-3"/>
    <n v="123.1"/>
    <n v="-2.4311183144247275E-3"/>
    <n v="200.5"/>
    <n v="8.5513078470824365E-3"/>
    <n v="193.3"/>
    <n v="4.6777546777547075E-3"/>
    <n v="178.6"/>
    <n v="-1.4892443463872128E-2"/>
    <n v="177.75"/>
    <n v="-8.9671514194118764E-3"/>
  </r>
  <r>
    <x v="2"/>
    <n v="2023"/>
    <s v="January"/>
    <x v="8"/>
    <n v="173.3"/>
    <n v="1.821386603995313E-2"/>
    <n v="215.2"/>
    <n v="1.0803193987787613E-2"/>
    <n v="197"/>
    <n v="2.6576341844710756E-2"/>
    <n v="175.2"/>
    <n v="7.4755606670499301E-3"/>
    <n v="178"/>
    <n v="-6.1418202121719398E-3"/>
    <n v="160.5"/>
    <n v="6.269592476489028E-3"/>
    <n v="175.3"/>
    <n v="-1.9026301063234344E-2"/>
    <n v="171.2"/>
    <n v="-5.837711617047445E-4"/>
    <n v="122.7"/>
    <n v="-3.2493907392363241E-3"/>
    <n v="204.3"/>
    <n v="1.8952618453865394E-2"/>
    <n v="194.3"/>
    <n v="5.1733057423693739E-3"/>
    <n v="179.5"/>
    <n v="5.0391937290033915E-3"/>
    <n v="178.875"/>
    <n v="6.3291139240506328E-3"/>
  </r>
  <r>
    <x v="2"/>
    <n v="2023"/>
    <s v="February"/>
    <x v="9"/>
    <n v="174.7"/>
    <n v="8.078476630121045E-3"/>
    <n v="212.2"/>
    <n v="-1.3940520446096656E-2"/>
    <n v="177.2"/>
    <n v="-0.10050761421319802"/>
    <n v="177.9"/>
    <n v="1.5410958904109687E-2"/>
    <n v="172.2"/>
    <n v="-3.2584269662921411E-2"/>
    <n v="172.1"/>
    <n v="7.2274143302180655E-2"/>
    <n v="175.8"/>
    <n v="2.8522532800912721E-3"/>
    <n v="172.2"/>
    <n v="5.8411214953271035E-3"/>
    <n v="121.9"/>
    <n v="-6.5199674001629754E-3"/>
    <n v="204.8"/>
    <n v="2.4473813020068525E-3"/>
    <n v="196.6"/>
    <n v="1.1837364899639644E-2"/>
    <n v="180.7"/>
    <n v="6.6852367688021649E-3"/>
    <n v="178.19166666666663"/>
    <n v="-3.8201723736316731E-3"/>
  </r>
  <r>
    <x v="2"/>
    <n v="2023"/>
    <s v="March"/>
    <x v="10"/>
    <n v="174.7"/>
    <n v="0"/>
    <n v="212.2"/>
    <n v="0"/>
    <n v="177.2"/>
    <n v="0"/>
    <n v="177.9"/>
    <n v="0"/>
    <n v="172.2"/>
    <n v="0"/>
    <n v="172.1"/>
    <n v="0"/>
    <n v="175.9"/>
    <n v="5.6882821387937608E-4"/>
    <n v="172.2"/>
    <n v="0"/>
    <n v="121.9"/>
    <n v="0"/>
    <n v="204.8"/>
    <n v="0"/>
    <n v="196.6"/>
    <n v="0"/>
    <n v="180.8"/>
    <n v="5.5340343110139867E-4"/>
    <n v="178.20833333333334"/>
    <n v="9.3532245241780969E-5"/>
  </r>
  <r>
    <x v="2"/>
    <n v="2023"/>
    <s v="April"/>
    <x v="11"/>
    <n v="174.8"/>
    <n v="5.7240984544947189E-4"/>
    <n v="213.7"/>
    <n v="7.068803016022621E-3"/>
    <n v="172.4"/>
    <n v="-2.7088036117381396E-2"/>
    <n v="178.8"/>
    <n v="5.0590219224283623E-3"/>
    <n v="168.7"/>
    <n v="-2.0325203252032523E-2"/>
    <n v="179.2"/>
    <n v="4.1255084253341047E-2"/>
    <n v="179.9"/>
    <n v="2.2740193291642979E-2"/>
    <n v="174.7"/>
    <n v="1.4518002322880372E-2"/>
    <n v="123.1"/>
    <n v="9.8441345365052387E-3"/>
    <n v="207.8"/>
    <n v="1.46484375E-2"/>
    <n v="197"/>
    <n v="2.034587995930853E-3"/>
    <n v="182.1"/>
    <n v="7.1902654867255691E-3"/>
    <n v="179.35000000000002"/>
    <n v="6.4063595978490337E-3"/>
  </r>
  <r>
    <x v="2"/>
    <n v="2023"/>
    <s v="May"/>
    <x v="12"/>
    <n v="174.7"/>
    <n v="-5.7208237986283023E-4"/>
    <n v="219.4"/>
    <n v="2.6672905942910705E-2"/>
    <n v="176.7"/>
    <n v="2.4941995359628672E-2"/>
    <n v="179.4"/>
    <n v="3.355704697986545E-3"/>
    <n v="164.4"/>
    <n v="-2.5489033787788874E-2"/>
    <n v="175.8"/>
    <n v="-1.8973214285714159E-2"/>
    <n v="185"/>
    <n v="2.8349082823790964E-2"/>
    <n v="176.9"/>
    <n v="1.2593016599885617E-2"/>
    <n v="124.2"/>
    <n v="8.9358245329001513E-3"/>
    <n v="211.9"/>
    <n v="1.9730510105871003E-2"/>
    <n v="197.7"/>
    <n v="3.5532994923857292E-3"/>
    <n v="183.1"/>
    <n v="5.4914881933003845E-3"/>
    <n v="180.76666666666668"/>
    <n v="7.8988941548182711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A94EE7-A187-48CC-BFB2-9365CBE3BF23}"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B233:D239" firstHeaderRow="0" firstDataRow="1" firstDataCol="1" rowPageCount="1" colPageCount="1"/>
  <pivotFields count="10">
    <pivotField axis="axisPage" multipleItemSelectionAllowed="1" showAll="0">
      <items count="4">
        <item h="1" x="0"/>
        <item h="1" x="2"/>
        <item x="1"/>
        <item t="default"/>
      </items>
    </pivotField>
    <pivotField showAll="0"/>
    <pivotField axis="axisRow" showAll="0">
      <items count="6">
        <item x="0"/>
        <item x="1"/>
        <item x="2"/>
        <item x="3"/>
        <item x="4"/>
        <item t="default"/>
      </items>
    </pivotField>
    <pivotField showAll="0"/>
    <pivotField showAll="0"/>
    <pivotField dataField="1" numFmtId="9" showAll="0"/>
    <pivotField showAll="0"/>
    <pivotField dataField="1" numFmtId="9" showAll="0"/>
    <pivotField showAll="0"/>
    <pivotField numFmtId="9" showAll="0"/>
  </pivotFields>
  <rowFields count="1">
    <field x="2"/>
  </rowFields>
  <rowItems count="6">
    <i>
      <x/>
    </i>
    <i>
      <x v="1"/>
    </i>
    <i>
      <x v="2"/>
    </i>
    <i>
      <x v="3"/>
    </i>
    <i>
      <x v="4"/>
    </i>
    <i t="grand">
      <x/>
    </i>
  </rowItems>
  <colFields count="1">
    <field x="-2"/>
  </colFields>
  <colItems count="2">
    <i>
      <x/>
    </i>
    <i i="1">
      <x v="1"/>
    </i>
  </colItems>
  <pageFields count="1">
    <pageField fld="0" hier="-1"/>
  </pageFields>
  <dataFields count="2">
    <dataField name="Food" fld="5" baseField="2" baseItem="0" numFmtId="9"/>
    <dataField name="Health " fld="7" baseField="2" baseItem="0" numFmtId="9"/>
  </dataFields>
  <chartFormats count="4">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AA9219-398A-47D0-B648-C37DA341D1D5}"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G234:I240" firstHeaderRow="0" firstDataRow="1" firstDataCol="1" rowPageCount="1" colPageCount="1"/>
  <pivotFields count="10">
    <pivotField axis="axisPage" multipleItemSelectionAllowed="1" showAll="0">
      <items count="4">
        <item h="1" x="0"/>
        <item x="2"/>
        <item h="1" x="1"/>
        <item t="default"/>
      </items>
    </pivotField>
    <pivotField showAll="0"/>
    <pivotField axis="axisRow" showAll="0">
      <items count="6">
        <item x="0"/>
        <item x="1"/>
        <item x="2"/>
        <item x="3"/>
        <item x="4"/>
        <item t="default"/>
      </items>
    </pivotField>
    <pivotField showAll="0"/>
    <pivotField showAll="0"/>
    <pivotField dataField="1" numFmtId="9" showAll="0"/>
    <pivotField showAll="0"/>
    <pivotField dataField="1" numFmtId="9" showAll="0"/>
    <pivotField showAll="0"/>
    <pivotField numFmtId="9" showAll="0"/>
  </pivotFields>
  <rowFields count="1">
    <field x="2"/>
  </rowFields>
  <rowItems count="6">
    <i>
      <x/>
    </i>
    <i>
      <x v="1"/>
    </i>
    <i>
      <x v="2"/>
    </i>
    <i>
      <x v="3"/>
    </i>
    <i>
      <x v="4"/>
    </i>
    <i t="grand">
      <x/>
    </i>
  </rowItems>
  <colFields count="1">
    <field x="-2"/>
  </colFields>
  <colItems count="2">
    <i>
      <x/>
    </i>
    <i i="1">
      <x v="1"/>
    </i>
  </colItems>
  <pageFields count="1">
    <pageField fld="0" hier="-1"/>
  </pageFields>
  <dataFields count="2">
    <dataField name="Food" fld="5" baseField="2" baseItem="0" numFmtId="9"/>
    <dataField name="Health " fld="7" baseField="2" baseItem="0" numFmtId="9"/>
  </dataFields>
  <chartFormats count="1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FCA130-72AA-4EB2-8263-0F4C3337302A}"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L234:N240" firstHeaderRow="0" firstDataRow="1" firstDataCol="1" rowPageCount="1" colPageCount="1"/>
  <pivotFields count="10">
    <pivotField axis="axisPage" multipleItemSelectionAllowed="1" showAll="0">
      <items count="4">
        <item x="0"/>
        <item h="1" x="2"/>
        <item h="1" x="1"/>
        <item t="default"/>
      </items>
    </pivotField>
    <pivotField showAll="0"/>
    <pivotField axis="axisRow" showAll="0">
      <items count="6">
        <item x="0"/>
        <item x="1"/>
        <item x="2"/>
        <item x="3"/>
        <item x="4"/>
        <item t="default"/>
      </items>
    </pivotField>
    <pivotField showAll="0"/>
    <pivotField showAll="0"/>
    <pivotField dataField="1" numFmtId="9" showAll="0"/>
    <pivotField showAll="0"/>
    <pivotField dataField="1" numFmtId="9" showAll="0"/>
    <pivotField showAll="0"/>
    <pivotField numFmtId="9" showAll="0"/>
  </pivotFields>
  <rowFields count="1">
    <field x="2"/>
  </rowFields>
  <rowItems count="6">
    <i>
      <x/>
    </i>
    <i>
      <x v="1"/>
    </i>
    <i>
      <x v="2"/>
    </i>
    <i>
      <x v="3"/>
    </i>
    <i>
      <x v="4"/>
    </i>
    <i t="grand">
      <x/>
    </i>
  </rowItems>
  <colFields count="1">
    <field x="-2"/>
  </colFields>
  <colItems count="2">
    <i>
      <x/>
    </i>
    <i i="1">
      <x v="1"/>
    </i>
  </colItems>
  <pageFields count="1">
    <pageField fld="0" hier="-1"/>
  </pageFields>
  <dataFields count="2">
    <dataField name="Food" fld="5" baseField="2" baseItem="0" numFmtId="9"/>
    <dataField name="Health " fld="7" baseField="2" baseItem="0" numFmtId="9"/>
  </dataFields>
  <chartFormats count="1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A6F398-57DF-4BE8-96E2-3DA0D915CEC6}"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9:K30" firstHeaderRow="0" firstDataRow="1" firstDataCol="1"/>
  <pivotFields count="5">
    <pivotField axis="axisRow" showAll="0">
      <items count="11">
        <item x="2"/>
        <item x="7"/>
        <item x="0"/>
        <item x="4"/>
        <item x="5"/>
        <item x="3"/>
        <item x="1"/>
        <item x="8"/>
        <item x="9"/>
        <item x="6"/>
        <item t="default"/>
      </items>
    </pivotField>
    <pivotField showAll="0"/>
    <pivotField dataField="1" showAll="0"/>
    <pivotField dataField="1" showAll="0"/>
    <pivotField dataField="1" showAl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Sum of Rural" fld="2" baseField="0" baseItem="0"/>
    <dataField name="Sum of Urban" fld="3" baseField="0" baseItem="0"/>
    <dataField name="Sum of Rural+Urban"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59FC2F-2B8B-40AC-9562-07F69AFD760F}"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S9:AS11" firstHeaderRow="1" firstDataRow="1" firstDataCol="1"/>
  <pivotFields count="33">
    <pivotField axis="axisRow" showAll="0">
      <items count="4">
        <item h="1" x="0"/>
        <item h="1" x="1"/>
        <item x="2"/>
        <item t="default"/>
      </items>
    </pivotField>
    <pivotField showAll="0"/>
    <pivotField showAll="0"/>
    <pivotField numFmtId="17"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2">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2E38B3-ADB1-489F-9099-F7C0146CB50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0:B64" firstHeaderRow="1" firstDataRow="1" firstDataCol="1" rowPageCount="1" colPageCount="1"/>
  <pivotFields count="33">
    <pivotField axis="axisPage" multipleItemSelectionAllowed="1" showAll="0">
      <items count="4">
        <item h="1" x="0"/>
        <item h="1" x="1"/>
        <item x="2"/>
        <item t="default"/>
      </items>
    </pivotField>
    <pivotField showAll="0"/>
    <pivotField showAll="0"/>
    <pivotField axis="axisRow" numFmtId="17"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14">
    <i>
      <x/>
    </i>
    <i>
      <x v="1"/>
    </i>
    <i>
      <x v="2"/>
    </i>
    <i>
      <x v="3"/>
    </i>
    <i>
      <x v="4"/>
    </i>
    <i>
      <x v="5"/>
    </i>
    <i>
      <x v="6"/>
    </i>
    <i>
      <x v="7"/>
    </i>
    <i>
      <x v="8"/>
    </i>
    <i>
      <x v="9"/>
    </i>
    <i>
      <x v="10"/>
    </i>
    <i>
      <x v="11"/>
    </i>
    <i>
      <x v="12"/>
    </i>
    <i t="grand">
      <x/>
    </i>
  </rowItems>
  <colItems count="1">
    <i/>
  </colItems>
  <pageFields count="1">
    <pageField fld="0" hier="-1"/>
  </pageFields>
  <dataFields count="1">
    <dataField name="Sum of Average" fld="28" baseField="0" baseItem="0"/>
  </dataFields>
  <formats count="2">
    <format dxfId="139">
      <pivotArea grandRow="1" outline="0" collapsedLevelsAreSubtotals="1" fieldPosition="0"/>
    </format>
    <format dxfId="138">
      <pivotArea collapsedLevelsAreSubtotals="1" fieldPosition="0">
        <references count="1">
          <reference field="3" count="0"/>
        </references>
      </pivotArea>
    </format>
  </formats>
  <chartFormats count="2">
    <chartFormat chart="4"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F4D259-7D72-4FF0-8224-1809507F46F9}"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N30:P36" firstHeaderRow="0" firstDataRow="1" firstDataCol="1" rowPageCount="1" colPageCount="1"/>
  <pivotFields count="10">
    <pivotField axis="axisPage" multipleItemSelectionAllowed="1" showAll="0">
      <items count="4">
        <item x="0"/>
        <item h="1" x="2"/>
        <item h="1" x="1"/>
        <item t="default"/>
      </items>
    </pivotField>
    <pivotField showAll="0"/>
    <pivotField axis="axisRow" showAll="0">
      <items count="6">
        <item x="0"/>
        <item x="1"/>
        <item x="2"/>
        <item x="3"/>
        <item x="4"/>
        <item t="default"/>
      </items>
    </pivotField>
    <pivotField showAll="0"/>
    <pivotField showAll="0"/>
    <pivotField dataField="1" numFmtId="9" showAll="0"/>
    <pivotField showAll="0"/>
    <pivotField dataField="1" numFmtId="9" showAll="0"/>
    <pivotField showAll="0"/>
    <pivotField numFmtId="9" showAll="0"/>
  </pivotFields>
  <rowFields count="1">
    <field x="2"/>
  </rowFields>
  <rowItems count="6">
    <i>
      <x/>
    </i>
    <i>
      <x v="1"/>
    </i>
    <i>
      <x v="2"/>
    </i>
    <i>
      <x v="3"/>
    </i>
    <i>
      <x v="4"/>
    </i>
    <i t="grand">
      <x/>
    </i>
  </rowItems>
  <colFields count="1">
    <field x="-2"/>
  </colFields>
  <colItems count="2">
    <i>
      <x/>
    </i>
    <i i="1">
      <x v="1"/>
    </i>
  </colItems>
  <pageFields count="1">
    <pageField fld="0" hier="-1"/>
  </pageFields>
  <dataFields count="2">
    <dataField name="Food" fld="5" baseField="2" baseItem="0" numFmtId="9"/>
    <dataField name="Health " fld="7" baseField="2" baseItem="0" numFmtId="9"/>
  </dataFields>
  <chartFormats count="1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179C3B-30CF-4B61-BEF4-FB4580A8A3FA}"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H30:J36" firstHeaderRow="0" firstDataRow="1" firstDataCol="1" rowPageCount="1" colPageCount="1"/>
  <pivotFields count="10">
    <pivotField axis="axisPage" multipleItemSelectionAllowed="1" showAll="0">
      <items count="4">
        <item h="1" x="0"/>
        <item x="2"/>
        <item h="1" x="1"/>
        <item t="default"/>
      </items>
    </pivotField>
    <pivotField showAll="0"/>
    <pivotField axis="axisRow" showAll="0">
      <items count="6">
        <item x="0"/>
        <item x="1"/>
        <item x="2"/>
        <item x="3"/>
        <item x="4"/>
        <item t="default"/>
      </items>
    </pivotField>
    <pivotField showAll="0"/>
    <pivotField showAll="0"/>
    <pivotField dataField="1" numFmtId="9" showAll="0"/>
    <pivotField showAll="0"/>
    <pivotField dataField="1" numFmtId="9" showAll="0"/>
    <pivotField showAll="0"/>
    <pivotField numFmtId="9" showAll="0"/>
  </pivotFields>
  <rowFields count="1">
    <field x="2"/>
  </rowFields>
  <rowItems count="6">
    <i>
      <x/>
    </i>
    <i>
      <x v="1"/>
    </i>
    <i>
      <x v="2"/>
    </i>
    <i>
      <x v="3"/>
    </i>
    <i>
      <x v="4"/>
    </i>
    <i t="grand">
      <x/>
    </i>
  </rowItems>
  <colFields count="1">
    <field x="-2"/>
  </colFields>
  <colItems count="2">
    <i>
      <x/>
    </i>
    <i i="1">
      <x v="1"/>
    </i>
  </colItems>
  <pageFields count="1">
    <pageField fld="0" hier="-1"/>
  </pageFields>
  <dataFields count="2">
    <dataField name="Food" fld="5" baseField="2" baseItem="0" numFmtId="9"/>
    <dataField name="Health " fld="7" baseField="2" baseItem="0" numFmtId="9"/>
  </dataFields>
  <chartFormats count="1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A8865E-D6F7-4F58-AF16-7BD0B4581E87}"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B30:D36" firstHeaderRow="0" firstDataRow="1" firstDataCol="1" rowPageCount="1" colPageCount="1"/>
  <pivotFields count="10">
    <pivotField axis="axisPage" multipleItemSelectionAllowed="1" showAll="0">
      <items count="4">
        <item h="1" x="0"/>
        <item h="1" x="2"/>
        <item x="1"/>
        <item t="default"/>
      </items>
    </pivotField>
    <pivotField showAll="0"/>
    <pivotField axis="axisRow" showAll="0">
      <items count="6">
        <item x="0"/>
        <item x="1"/>
        <item x="2"/>
        <item x="3"/>
        <item x="4"/>
        <item t="default"/>
      </items>
    </pivotField>
    <pivotField showAll="0"/>
    <pivotField showAll="0"/>
    <pivotField dataField="1" numFmtId="9" showAll="0"/>
    <pivotField showAll="0"/>
    <pivotField dataField="1" numFmtId="9" showAll="0"/>
    <pivotField showAll="0"/>
    <pivotField numFmtId="9" showAll="0"/>
  </pivotFields>
  <rowFields count="1">
    <field x="2"/>
  </rowFields>
  <rowItems count="6">
    <i>
      <x/>
    </i>
    <i>
      <x v="1"/>
    </i>
    <i>
      <x v="2"/>
    </i>
    <i>
      <x v="3"/>
    </i>
    <i>
      <x v="4"/>
    </i>
    <i t="grand">
      <x/>
    </i>
  </rowItems>
  <colFields count="1">
    <field x="-2"/>
  </colFields>
  <colItems count="2">
    <i>
      <x/>
    </i>
    <i i="1">
      <x v="1"/>
    </i>
  </colItems>
  <pageFields count="1">
    <pageField fld="0" hier="-1"/>
  </pageFields>
  <dataFields count="2">
    <dataField name="Food" fld="5" baseField="2" baseItem="0" numFmtId="9"/>
    <dataField name="Health " fld="7" baseField="2" baseItem="0" numFmtId="9"/>
  </dataFields>
  <chartFormats count="4">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EC4E14D-9B43-45D4-A18D-3764A67F4AB9}"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19540DD5-0FA1-4680-BF43-BE7694D0BC2A}" sourceName="Sector">
  <pivotTables>
    <pivotTable tabId="14" name="PivotTable3"/>
    <pivotTable tabId="14" name="PivotTable4"/>
  </pivotTables>
  <data>
    <tabular pivotCacheId="1338612808">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1" xr10:uid="{9F546F66-81C1-440A-AD54-FA1E52B55132}" sourceName="Sector">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C88F0612-0740-4402-8384-44E23F2930CC}" cache="Slicer_Sector" caption="Sector"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1" xr10:uid="{264BF7DF-1D7C-4E6A-9AC5-6DFD39820599}" cache="Slicer_Sector1" caption="Sector" columnCount="3" style="SlicerStyleDark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2" xr10:uid="{C61201F8-7175-4733-94E5-FEDFD88DEA89}" cache="Slicer_Sector" caption="Sector" columnCount="3"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A6398F-BD3F-4E2F-BF75-7417EC7FF550}" name="All_India_Index_Upto_April23__1" displayName="All_India_Index_Upto_April23__1" ref="A2:AD374" tableType="queryTable" totalsRowShown="0">
  <autoFilter ref="A2:AD374" xr:uid="{BAA6398F-BD3F-4E2F-BF75-7417EC7FF550}"/>
  <tableColumns count="30">
    <tableColumn id="1" xr3:uid="{2BFAC863-1D1F-444F-BD2F-9060C9DF2C10}" uniqueName="1" name="Sector" queryTableFieldId="1" dataDxfId="204"/>
    <tableColumn id="2" xr3:uid="{84CA5F34-2073-41EE-8F2C-54D3CF2DE40B}" uniqueName="2" name="Year" queryTableFieldId="2"/>
    <tableColumn id="3" xr3:uid="{C45CA979-7526-4578-B81B-D01F80C24C6B}" uniqueName="3" name="Month" queryTableFieldId="3" dataDxfId="203"/>
    <tableColumn id="4" xr3:uid="{50749571-EBF0-47E6-9C95-2C9DA824723B}" uniqueName="4" name="Cereals and products" queryTableFieldId="4"/>
    <tableColumn id="5" xr3:uid="{970A0FF4-4089-4DAE-AF4E-064763279349}" uniqueName="5" name="Meat and fish" queryTableFieldId="5"/>
    <tableColumn id="6" xr3:uid="{B3C2BB61-D021-4208-8258-1B4FF576591F}" uniqueName="6" name="Egg" queryTableFieldId="6"/>
    <tableColumn id="7" xr3:uid="{76AD1CD4-6A01-45D3-A0D1-14E6E7FA4215}" uniqueName="7" name="Milk and products" queryTableFieldId="7"/>
    <tableColumn id="8" xr3:uid="{ADAB4D13-34B6-4851-BEDA-9F1743D9F6BF}" uniqueName="8" name="Oils and fats" queryTableFieldId="8"/>
    <tableColumn id="9" xr3:uid="{DD2295D0-4DB4-4980-8500-59115CAD0B08}" uniqueName="9" name="Fruits" queryTableFieldId="9"/>
    <tableColumn id="10" xr3:uid="{088390FC-4E5B-4CF2-9C47-1456FD6F3F27}" uniqueName="10" name="Vegetables" queryTableFieldId="10"/>
    <tableColumn id="11" xr3:uid="{7D55CA02-B2A0-484F-9091-481ABB41D498}" uniqueName="11" name="Pulses and products" queryTableFieldId="11"/>
    <tableColumn id="12" xr3:uid="{C2D8A478-1865-4AEC-91FF-1D18E23499D6}" uniqueName="12" name="Sugar and Confectionery" queryTableFieldId="12"/>
    <tableColumn id="13" xr3:uid="{139F7D47-252F-4671-9B05-3854B26CB8B7}" uniqueName="13" name="Spices" queryTableFieldId="13"/>
    <tableColumn id="14" xr3:uid="{20119679-CC0D-4A04-AE46-1813114A58B6}" uniqueName="14" name="Non-alcoholic beverages" queryTableFieldId="14"/>
    <tableColumn id="15" xr3:uid="{4F3A932E-94D2-4552-B94C-79761D1C709D}" uniqueName="15" name="Prepared meals, snacks, sweets etc." queryTableFieldId="15"/>
    <tableColumn id="16" xr3:uid="{6DEEF4C9-BF91-4A47-855A-CA0590C6BBAD}" uniqueName="16" name="Food and beverages" queryTableFieldId="16"/>
    <tableColumn id="17" xr3:uid="{0A0A17E6-23E9-4F16-82EF-3A5FFC656681}" uniqueName="17" name="Pan, tobacco and intoxicants" queryTableFieldId="17"/>
    <tableColumn id="18" xr3:uid="{A8F05FD2-DD47-4CE6-8F9C-D88AF76C7427}" uniqueName="18" name="Clothing" queryTableFieldId="18"/>
    <tableColumn id="19" xr3:uid="{D0D42155-4C2B-46D5-910C-D736A5FDCD3B}" uniqueName="19" name="Footwear" queryTableFieldId="19"/>
    <tableColumn id="20" xr3:uid="{0DC3D06E-5CD1-4905-8075-D40A85F7C30B}" uniqueName="20" name="Clothing and footwear" queryTableFieldId="20"/>
    <tableColumn id="21" xr3:uid="{8034593E-BA72-451B-A863-17ADD4747FE8}" uniqueName="21" name="Housing" queryTableFieldId="21" dataDxfId="202"/>
    <tableColumn id="22" xr3:uid="{AB9AAE9E-4333-4797-9CD0-84C6E6CBC4B2}" uniqueName="22" name="Fuel and light" queryTableFieldId="22"/>
    <tableColumn id="23" xr3:uid="{510ADBBB-4F8D-4D78-952D-4568F20A1E5E}" uniqueName="23" name="Household goods and services" queryTableFieldId="23"/>
    <tableColumn id="24" xr3:uid="{5A202721-811E-4530-8614-AAC03DE411DC}" uniqueName="24" name="Health" queryTableFieldId="24"/>
    <tableColumn id="25" xr3:uid="{5B5C855E-B022-45D4-829B-7630D2B61FC0}" uniqueName="25" name="Transport and communication" queryTableFieldId="25"/>
    <tableColumn id="26" xr3:uid="{7C633A10-BBE5-412F-9F50-B51924C01B4C}" uniqueName="26" name="Recreation and amusement" queryTableFieldId="26"/>
    <tableColumn id="27" xr3:uid="{8C7C83EC-7A13-479D-80BE-352D2E9DBDFB}" uniqueName="27" name="Education" queryTableFieldId="27"/>
    <tableColumn id="28" xr3:uid="{B8F1085E-242E-4623-876E-EF2595698EFA}" uniqueName="28" name="Personal care and effects" queryTableFieldId="28"/>
    <tableColumn id="29" xr3:uid="{4A758C90-0FC2-494E-B6F8-69D588DC34D4}" uniqueName="29" name="Miscellaneous" queryTableFieldId="29"/>
    <tableColumn id="30" xr3:uid="{E64BA09B-AD08-42CC-84C7-F008F8DC8409}" uniqueName="30" name="General index" queryTableField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CBCD8BF-F05B-4DFB-AABE-5B16D0103B6F}" name="Table7" displayName="Table7" ref="AL53:AO167" totalsRowShown="0" headerRowDxfId="201">
  <autoFilter ref="AL53:AO167" xr:uid="{4CBCD8BF-F05B-4DFB-AABE-5B16D0103B6F}"/>
  <tableColumns count="4">
    <tableColumn id="5" xr3:uid="{2F40C5D8-8E79-43B9-BC81-19F872BA694D}" name="Classification" dataDxfId="200"/>
    <tableColumn id="2" xr3:uid="{A529E02D-43EB-41BB-B5E1-AC3B44D7DA9B}" name="Categories " dataDxfId="199"/>
    <tableColumn id="3" xr3:uid="{C7D586A1-BD35-4138-BD10-B6BD55A2614A}" name="Sector" dataDxfId="198"/>
    <tableColumn id="4" xr3:uid="{6E9D749D-CD25-4940-9B5D-3D0705F3D8C6}" name="CPI Value" dataDxfId="19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3E6618B-E713-4665-974E-CC43590F2561}" name="Table5" displayName="Table5" ref="D2:J12" totalsRowShown="0" headerRowDxfId="196" dataDxfId="195" dataCellStyle="Percent">
  <autoFilter ref="D2:J12" xr:uid="{D3E6618B-E713-4665-974E-CC43590F2561}"/>
  <tableColumns count="7">
    <tableColumn id="1" xr3:uid="{C711A585-9E44-4562-A5D2-06BB8CF1923F}" name="Categories "/>
    <tableColumn id="2" xr3:uid="{CCADC0CA-2B05-460C-9A12-58D70B8E7F00}" name="Sum of Rural"/>
    <tableColumn id="3" xr3:uid="{B27C22B8-6A08-4AF4-94B6-5446D531CADF}" name="Contribution % Rural" dataDxfId="194" dataCellStyle="Percent">
      <calculatedColumnFormula>E3/$E$12</calculatedColumnFormula>
    </tableColumn>
    <tableColumn id="4" xr3:uid="{9A24343C-C599-40AB-8FCA-7E78DD477E34}" name="Sum of Urban"/>
    <tableColumn id="5" xr3:uid="{E09F619F-740E-4A99-9BF3-13F2F0023972}" name="Contribution % Urban" dataDxfId="193" dataCellStyle="Percent">
      <calculatedColumnFormula>G3/$G$12</calculatedColumnFormula>
    </tableColumn>
    <tableColumn id="6" xr3:uid="{FB4EFFDE-B12F-45EC-8C59-A85771E7F3ED}" name="Sum of Rural+Urban"/>
    <tableColumn id="7" xr3:uid="{0A051117-2762-4E0C-BEA6-4B2EC72D33BF}" name="Contribution %  Rural+Urban" dataDxfId="192" dataCellStyle="Percent">
      <calculatedColumnFormula>I3/$I$12</calculatedColumnFormula>
    </tableColumn>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4BD19A-7E7F-4D6D-87FF-3B92C0F15016}" name="Table6" displayName="Table6" ref="A50:E62" totalsRowShown="0" headerRowDxfId="191" dataDxfId="190" tableBorderDxfId="189">
  <autoFilter ref="A50:E62" xr:uid="{F64BD19A-7E7F-4D6D-87FF-3B92C0F15016}"/>
  <tableColumns count="5">
    <tableColumn id="1" xr3:uid="{FD53BB0A-7AD7-4CF9-B318-5DE67F218203}" name="Classified as" dataDxfId="188"/>
    <tableColumn id="2" xr3:uid="{85E28386-3087-463B-A7A0-86759A1761F2}" name="Original Classification" dataDxfId="187"/>
    <tableColumn id="3" xr3:uid="{692F9A9F-F8CD-4D81-BD15-24FC254BAAB8}" name="Sector" dataDxfId="186"/>
    <tableColumn id="4" xr3:uid="{EBB74E15-6ED4-4617-B587-9E26445A2EE3}" name="CPI Value" dataDxfId="185"/>
    <tableColumn id="5" xr3:uid="{ADA5B8A4-2283-4E07-8389-A643DA2F85F9}" name="Contribution %" dataDxfId="184" dataCellStyle="Percent"/>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A8DC5A-14DE-4DE5-AD09-7C832C72F7E1}" name="Table8" displayName="Table8" ref="G50:K62" totalsRowShown="0" headerRowDxfId="183" tableBorderDxfId="182">
  <autoFilter ref="G50:K62" xr:uid="{6EA8DC5A-14DE-4DE5-AD09-7C832C72F7E1}"/>
  <tableColumns count="5">
    <tableColumn id="1" xr3:uid="{EFA75F79-6F98-4ECE-A774-9B3508AAA21F}" name="Classified as" dataDxfId="181"/>
    <tableColumn id="2" xr3:uid="{686FC82B-744B-455F-B9A1-B2C8B233E775}" name="Original Classification" dataDxfId="180"/>
    <tableColumn id="3" xr3:uid="{CA60E368-00D1-41BE-ABF9-934452310516}" name="Sector" dataDxfId="179"/>
    <tableColumn id="4" xr3:uid="{9E044E18-3A3C-405E-8401-A665FB8BF888}" name="CPI Value" dataDxfId="178"/>
    <tableColumn id="5" xr3:uid="{66ADBE2E-8481-47C3-8066-332CF7447FA5}" name="Contribution %" dataDxfId="177" dataCellStyle="Percent"/>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702220D-5DCF-463D-AF2C-0E8E59FA226E}" name="Table9" displayName="Table9" ref="M50:Q62" totalsRowShown="0" headerRowDxfId="176" tableBorderDxfId="175">
  <autoFilter ref="M50:Q62" xr:uid="{1702220D-5DCF-463D-AF2C-0E8E59FA226E}"/>
  <tableColumns count="5">
    <tableColumn id="1" xr3:uid="{A1BA870E-529B-4E27-9DEA-2DD0D71EDA70}" name="Classified as" dataDxfId="174"/>
    <tableColumn id="2" xr3:uid="{AF52770F-E4E7-49BA-80B9-BD4D4D35231D}" name="Original Classification" dataDxfId="173"/>
    <tableColumn id="3" xr3:uid="{22EA25C1-E0DF-45E4-84FF-3D0631AFD02D}" name="Sector" dataDxfId="172"/>
    <tableColumn id="4" xr3:uid="{F17ED436-C447-4707-86FE-6203B859E587}" name="CPI Value" dataDxfId="171"/>
    <tableColumn id="5" xr3:uid="{B43AD0DD-8ABB-43D9-AB1D-DB96BED744A1}" name="Contribution %" dataDxfId="170" dataCellStyle="Percent"/>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6CBD2EC-414A-40DE-8A6B-EC11C35F048B}" name="Table10" displayName="Table10" ref="D105:K110" totalsRowShown="0" headerRowDxfId="169" dataDxfId="168" dataCellStyle="Percent">
  <autoFilter ref="D105:K110" xr:uid="{56CBD2EC-414A-40DE-8A6B-EC11C35F048B}"/>
  <tableColumns count="8">
    <tableColumn id="1" xr3:uid="{157B60E7-FE38-4B0A-A4EC-59010A864CD6}" name="CATEGORIES"/>
    <tableColumn id="2" xr3:uid="{9CF8E9F4-CFE1-4028-9722-984E1783AA56}" name="Categories "/>
    <tableColumn id="3" xr3:uid="{F6FE3F7D-EB2D-4989-AFA8-F27308D217ED}" name="Sum of Rural"/>
    <tableColumn id="4" xr3:uid="{52794C10-08D7-4A89-A1EB-50047C3A54B4}" name="Contribution % Rural" dataDxfId="167" dataCellStyle="Percent">
      <calculatedColumnFormula>F106/$F$110</calculatedColumnFormula>
    </tableColumn>
    <tableColumn id="5" xr3:uid="{59E22950-C1C2-4F62-809B-2CBF577EBD9B}" name="Sum of Urban"/>
    <tableColumn id="6" xr3:uid="{25C4C9B7-C9C1-489A-9E1C-D04517DFF5D6}" name="Contribution % Urban" dataDxfId="166" dataCellStyle="Percent">
      <calculatedColumnFormula>H106/$H$110</calculatedColumnFormula>
    </tableColumn>
    <tableColumn id="7" xr3:uid="{77E2F997-3F5A-4517-A4A2-F3D85A278A91}" name="Sum of Rural+Urban"/>
    <tableColumn id="8" xr3:uid="{39C6A0B1-9096-4C78-8056-399E7403B223}" name="Contribution %  Rural+Urban" dataDxfId="165" dataCellStyle="Percent">
      <calculatedColumnFormula>J106/$J$110</calculatedColumnFormula>
    </tableColumn>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0AF65C9-95C9-486C-B27B-7316867910F5}" name="Table11" displayName="Table11" ref="D143:K147" totalsRowShown="0" headerRowDxfId="164" dataDxfId="163" dataCellStyle="Percent">
  <autoFilter ref="D143:K147" xr:uid="{B0AF65C9-95C9-486C-B27B-7316867910F5}"/>
  <tableColumns count="8">
    <tableColumn id="1" xr3:uid="{53AE98EE-6D0D-4C71-970B-F87563F13858}" name="CATEGORIES"/>
    <tableColumn id="2" xr3:uid="{6B8B1CDF-CD33-47FF-8E65-BA59619D698D}" name="Categories "/>
    <tableColumn id="3" xr3:uid="{2C98D0D9-B1F1-4BEC-B82C-B876B83B2C1A}" name="Sum of Rural"/>
    <tableColumn id="4" xr3:uid="{833CA74B-2236-4CCC-8887-B2E78B28FEBB}" name="Average Rural" dataDxfId="162" dataCellStyle="Percent">
      <calculatedColumnFormula>F144/$F$147</calculatedColumnFormula>
    </tableColumn>
    <tableColumn id="5" xr3:uid="{BF5D5F2E-8177-4792-913B-3744F659F170}" name="Sum of Urban"/>
    <tableColumn id="6" xr3:uid="{E4F5D9B5-4842-4884-B3EB-91764044C818}" name="Contribution % Urban" dataDxfId="161" dataCellStyle="Percent">
      <calculatedColumnFormula>H144/$H$147</calculatedColumnFormula>
    </tableColumn>
    <tableColumn id="7" xr3:uid="{3E2CE690-E1D3-4E23-8BEC-7170B452496C}" name="Sum of Rural+Urban"/>
    <tableColumn id="8" xr3:uid="{4004E0A9-AE62-4C69-90D3-FA9037F244B3}" name="Contribution %  Rural+Urban" dataDxfId="160" dataCellStyle="Percent">
      <calculatedColumnFormula>J144/$J$147</calculatedColumnFormula>
    </tableColumn>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C7A5A2-AA8E-4F1C-96F5-6CD4D1CCC8EA}" name="Table713" displayName="Table713" ref="B175:E253" totalsRowShown="0" headerRowDxfId="159" dataDxfId="158">
  <autoFilter ref="B175:E253" xr:uid="{98C7A5A2-AA8E-4F1C-96F5-6CD4D1CCC8EA}"/>
  <tableColumns count="4">
    <tableColumn id="5" xr3:uid="{7FDAF631-809E-4772-84A3-E2463FCC665D}" name="Classification" dataDxfId="157"/>
    <tableColumn id="2" xr3:uid="{00D6C971-3DC8-40FA-8E4B-7F53CA931FAE}" name="Categories " dataDxfId="156"/>
    <tableColumn id="3" xr3:uid="{5201E30A-3D70-403F-8303-38EF60AF2E03}" name="Sector" dataDxfId="155"/>
    <tableColumn id="4" xr3:uid="{9BF74599-9E6D-4F0D-854B-3F6CB8E73D07}" name="CPI Value" dataDxfId="154"/>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1FAA89-4856-4DCF-9CDF-9E5E2EA6AC64}" name="Table524" displayName="Table524" ref="AK9:AS19" totalsRowShown="0" headerRowDxfId="153" dataDxfId="152" dataCellStyle="Percent">
  <autoFilter ref="AK9:AS19" xr:uid="{001FAA89-4856-4DCF-9CDF-9E5E2EA6AC64}"/>
  <tableColumns count="9">
    <tableColumn id="1" xr3:uid="{2D518CAF-7CB1-42C1-A2EA-1E971B49D7A3}" name="Categories "/>
    <tableColumn id="2" xr3:uid="{7EDEF2D3-BA83-4E0B-A1F1-4100202E5E93}" name="Sum of Rural"/>
    <tableColumn id="3" xr3:uid="{5BD939A2-D5BF-4CA4-90C2-8CA882E22698}" name="Contribution % Rural" dataDxfId="151" dataCellStyle="Percent">
      <calculatedColumnFormula>AL10/$E$12</calculatedColumnFormula>
    </tableColumn>
    <tableColumn id="4" xr3:uid="{8175851E-25E5-49FB-A14F-9CB1C4631F09}" name="Sum of Urban"/>
    <tableColumn id="5" xr3:uid="{035812CE-CF2B-4228-AB31-14F8D6F533E1}" name="Contribution % Urban" dataDxfId="150" dataCellStyle="Percent">
      <calculatedColumnFormula>AN10/$G$12</calculatedColumnFormula>
    </tableColumn>
    <tableColumn id="6" xr3:uid="{68E9F593-5C7A-4FB5-A48C-E64E4E86EAE0}" name="Sum of Rural+Urban"/>
    <tableColumn id="7" xr3:uid="{C12DA110-816F-40CC-BBC6-BA2EBC5FCD1E}" name="Contribution %  Rural+Urban" dataDxfId="149" dataCellStyle="Percent">
      <calculatedColumnFormula>AP10/$I$12</calculatedColumnFormula>
    </tableColumn>
    <tableColumn id="8" xr3:uid="{F47A9045-4A9B-4067-B2B2-B261EB9BBB26}" name="Column1" dataDxfId="148" dataCellStyle="Percent">
      <calculatedColumnFormula>SUM(AL10,AN10,AP10)</calculatedColumnFormula>
    </tableColumn>
    <tableColumn id="9" xr3:uid="{DEE4B74F-F4D2-4300-9426-30D1F881703F}" name="Column2" dataDxfId="147" dataCellStyle="Percent">
      <calculatedColumnFormula>Table524[[#This Row],[Column1]]/$AR$19</calculatedColumnFormula>
    </tableColumn>
  </tableColumns>
  <tableStyleInfo name="TableStyleMedium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539707E-07C8-48B7-B1B2-1E2B128DF23D}" name="Table13" displayName="Table13" ref="A1:E8" totalsRowShown="0" headerRowDxfId="146" tableBorderDxfId="145">
  <autoFilter ref="A1:E8" xr:uid="{A539707E-07C8-48B7-B1B2-1E2B128DF23D}"/>
  <tableColumns count="5">
    <tableColumn id="1" xr3:uid="{32477802-112D-41AF-811D-7704608745F2}" name="Sector" dataDxfId="144"/>
    <tableColumn id="2" xr3:uid="{18A03FEC-EBD1-42B1-A456-FCB7D38487DF}" name="Year" dataDxfId="143"/>
    <tableColumn id="3" xr3:uid="{52A4E199-45CB-4C3C-8289-E3FEF4EE1CBC}" name="Month" dataDxfId="142"/>
    <tableColumn id="4" xr3:uid="{16690529-554B-49E8-8415-8F4D2501A7BD}" name="General index" dataDxfId="141"/>
    <tableColumn id="5" xr3:uid="{8DD3817F-EEA7-4B9E-A3F1-24FC39702C6C}" name="Inflation" dataDxfId="140" dataCellStyle="Percent"/>
  </tableColumns>
  <tableStyleInfo name="TableStyleMedium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DF09AA-3896-47FA-871B-E4DD6BC8B70B}" name="Table3" displayName="Table3" ref="A7:AD46" totalsRowShown="0" dataDxfId="137" dataCellStyle="Percent">
  <autoFilter ref="A7:AD46" xr:uid="{05DF09AA-3896-47FA-871B-E4DD6BC8B70B}"/>
  <tableColumns count="30">
    <tableColumn id="1" xr3:uid="{1314D233-FD7C-483B-A27D-E1379598E887}" name="Sector"/>
    <tableColumn id="2" xr3:uid="{ACDE7367-0A9D-48B0-B0BF-2EA4CFA0E67C}" name="Year"/>
    <tableColumn id="3" xr3:uid="{58F69C4F-3275-4F41-B310-ED06DACE0AB4}" name="Month"/>
    <tableColumn id="4" xr3:uid="{1E95C063-C14C-41E8-9C09-CD495FD6537B}" name="date" dataDxfId="136"/>
    <tableColumn id="5" xr3:uid="{620240A4-B614-40EE-8C7E-4B89C351C8E4}" name="Cereals and products"/>
    <tableColumn id="6" xr3:uid="{E94F9AB2-517B-43BB-A3A5-454A515F0637}" name="% change Cereals and products" dataDxfId="135" dataCellStyle="Percent">
      <calculatedColumnFormula>(E8-E7)/E7</calculatedColumnFormula>
    </tableColumn>
    <tableColumn id="7" xr3:uid="{C095595B-0583-450D-A803-498DF2DB739F}" name="Meat and fish"/>
    <tableColumn id="8" xr3:uid="{AD074516-5D34-4BC5-BD3F-47F691F4CB18}" name="% change Meat and fish" dataDxfId="134" dataCellStyle="Percent">
      <calculatedColumnFormula>(G8-G7)/G7</calculatedColumnFormula>
    </tableColumn>
    <tableColumn id="9" xr3:uid="{9C939024-ED26-4FE4-AA73-C93667239136}" name="Egg"/>
    <tableColumn id="10" xr3:uid="{C2A271B6-941A-4A03-8C65-80250FC1D7D4}" name="% change egg" dataDxfId="133" dataCellStyle="Percent">
      <calculatedColumnFormula>(I8-I7)/I7</calculatedColumnFormula>
    </tableColumn>
    <tableColumn id="11" xr3:uid="{EF99C918-8A1C-4F8C-B90D-0F99810630EE}" name="Milk and products"/>
    <tableColumn id="12" xr3:uid="{5CA456BE-2C9B-4C5F-989A-D667602B92BC}" name="% change Milk and products" dataDxfId="132" dataCellStyle="Percent">
      <calculatedColumnFormula>(K8-K7)/K7</calculatedColumnFormula>
    </tableColumn>
    <tableColumn id="13" xr3:uid="{6DE7D45B-1E92-4B8F-88EC-A1AB5FCE60A7}" name="Oils and fats"/>
    <tableColumn id="14" xr3:uid="{212177C0-443A-4986-8D51-621950474BBC}" name="% change Oils and fats" dataDxfId="131" dataCellStyle="Percent">
      <calculatedColumnFormula>(M8-M7)/M7</calculatedColumnFormula>
    </tableColumn>
    <tableColumn id="15" xr3:uid="{8C22B833-EE39-4B12-8EB6-2643290074CF}" name="Fruits"/>
    <tableColumn id="16" xr3:uid="{A2B463A4-2DAB-48A6-820E-D3EB8B8303D8}" name="% change Fruits" dataDxfId="130" dataCellStyle="Percent">
      <calculatedColumnFormula>(O8-O7)/O7</calculatedColumnFormula>
    </tableColumn>
    <tableColumn id="17" xr3:uid="{EF34276A-1098-4CAD-A24F-283AB84514A5}" name="Vegetables"/>
    <tableColumn id="18" xr3:uid="{FD740307-4B9C-4993-9E91-C8943A3A8AFA}" name="% change Vegetables" dataDxfId="129" dataCellStyle="Percent">
      <calculatedColumnFormula>(Q8-Q7)/Q7</calculatedColumnFormula>
    </tableColumn>
    <tableColumn id="19" xr3:uid="{DD0258C4-AAF3-4760-9ECB-416DC6C315A4}" name="Pulses and products"/>
    <tableColumn id="20" xr3:uid="{D3D26FC0-6E3C-4D10-A261-FE2B74F5E112}" name="% change Pulses and products" dataDxfId="128" dataCellStyle="Percent">
      <calculatedColumnFormula>(S8-S7)/S7</calculatedColumnFormula>
    </tableColumn>
    <tableColumn id="21" xr3:uid="{71CEAF86-84A9-43C3-9568-544B0E8DF0E3}" name="Sugar and Confectionery"/>
    <tableColumn id="22" xr3:uid="{C0BE7B29-41A0-4039-AD69-06143D8540B2}" name="% change Sugar and Confectionery" dataDxfId="127" dataCellStyle="Percent">
      <calculatedColumnFormula>(U8-U7)/U7</calculatedColumnFormula>
    </tableColumn>
    <tableColumn id="23" xr3:uid="{61299BD7-5E1E-45F9-BB0B-32309F4EBF68}" name="Spices"/>
    <tableColumn id="24" xr3:uid="{C4341319-14F6-45E8-882E-9287126AA390}" name="% change Spices" dataDxfId="126" dataCellStyle="Percent">
      <calculatedColumnFormula>(W8-W7)/W7</calculatedColumnFormula>
    </tableColumn>
    <tableColumn id="25" xr3:uid="{60150E29-F77A-4E44-B2ED-1F79C59D2AC4}" name="Prepared meals, snacks, sweets etc."/>
    <tableColumn id="26" xr3:uid="{13D05DFD-97E0-41D5-BFBB-BCFFD76FCFE8}" name="% change Prepared meals, snacks, sweets etc." dataDxfId="125" dataCellStyle="Percent">
      <calculatedColumnFormula>(Y8-Y7)/Y7</calculatedColumnFormula>
    </tableColumn>
    <tableColumn id="27" xr3:uid="{B49A0890-27B0-44A6-B4C5-8FAE8003BA7F}" name="Food and beverages"/>
    <tableColumn id="28" xr3:uid="{D5BCFC82-3036-4427-922C-D20283FF64BA}" name="% change Food and beverages" dataDxfId="124" dataCellStyle="Percent">
      <calculatedColumnFormula>(AA8-AA7)/AA7</calculatedColumnFormula>
    </tableColumn>
    <tableColumn id="29" xr3:uid="{6B4F35E5-009C-42F7-A1E4-E3653E50F510}" name="Average"/>
    <tableColumn id="30" xr3:uid="{2E09151E-7957-4976-B7B9-880608EC0B2C}" name="% change Average" dataDxfId="123" dataCellStyle="Percent">
      <calculatedColumnFormula>(AC8-AC7)/AC7</calculatedColumnFormula>
    </tableColumn>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0F5559-A8C4-435A-88FF-F85137B923DF}" name="Table2" displayName="Table2" ref="F50:F62" totalsRowShown="0" dataDxfId="122" tableBorderDxfId="121">
  <autoFilter ref="F50:F62" xr:uid="{C10F5559-A8C4-435A-88FF-F85137B923DF}"/>
  <tableColumns count="1">
    <tableColumn id="1" xr3:uid="{BB8DAB6C-9634-4C4A-9A08-B4B311502DC2}" name="Categories" dataDxfId="120"/>
  </tableColumns>
  <tableStyleInfo name="TableStyleMedium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23DFF0-CD37-4F47-A5E8-E863122C49CC}" name="Table4" displayName="Table4" ref="G50:I62" totalsRowShown="0">
  <autoFilter ref="G50:I62" xr:uid="{B923DFF0-CD37-4F47-A5E8-E863122C49CC}"/>
  <tableColumns count="3">
    <tableColumn id="1" xr3:uid="{6B37F017-35E4-4F81-8120-41B48BC477FE}" name="sum of % change Rural"/>
    <tableColumn id="2" xr3:uid="{C0E80747-F139-4EB0-81DB-E7CCD9AD5503}" name="sum of % change Urban"/>
    <tableColumn id="3" xr3:uid="{F5D87C25-B921-458A-9569-9B7EB2EBC266}" name="sum of % change Urban + Rural"/>
  </tableColumns>
  <tableStyleInfo name="TableStyleMedium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0E6B6E4-380B-4946-B837-D7693E63183F}" name="Table14" displayName="Table14" ref="B3:F6" totalsRowShown="0" tableBorderDxfId="119">
  <autoFilter ref="B3:F6" xr:uid="{80E6B6E4-380B-4946-B837-D7693E63183F}"/>
  <tableColumns count="5">
    <tableColumn id="1" xr3:uid="{E3AA6AE1-19EA-499C-8E48-662AC2BA1550}" name="Sector"/>
    <tableColumn id="2" xr3:uid="{639B519B-B8AE-45BF-9336-C256E98B9C47}" name="Period"/>
    <tableColumn id="3" xr3:uid="{AB6899F9-EA06-4652-A0F3-5EB2005FAFFF}" name="FOOD " dataDxfId="118"/>
    <tableColumn id="4" xr3:uid="{6D879B96-1C9B-4C42-9129-EAF4CA30B050}" name="HEALTH" dataDxfId="117"/>
    <tableColumn id="5" xr3:uid="{C63C67A4-46BB-4201-A54E-6C982D3D54A3}" name="ESSENTIAL" dataDxfId="116"/>
  </tableColumns>
  <tableStyleInfo name="TableStyleMedium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4F92062-8872-4E83-97AA-875CC2B98B2D}" name="Table15" displayName="Table15" ref="H3:L6" totalsRowShown="0" headerRowDxfId="115" tableBorderDxfId="114">
  <autoFilter ref="H3:L6" xr:uid="{34F92062-8872-4E83-97AA-875CC2B98B2D}"/>
  <tableColumns count="5">
    <tableColumn id="1" xr3:uid="{9FE73FB2-0AEB-42A3-B60D-B9B7FFA16750}" name="Sector" dataDxfId="113"/>
    <tableColumn id="2" xr3:uid="{CCE29C3E-5260-40D9-9DBF-6A528D2A0BE1}" name="Period" dataDxfId="112"/>
    <tableColumn id="3" xr3:uid="{4877642F-808C-4F28-8771-B0464A34B5B3}" name="FOOD "/>
    <tableColumn id="4" xr3:uid="{83A32EBF-6DEE-413F-94E7-02DB86FC1BF1}" name="HEALTH"/>
    <tableColumn id="5" xr3:uid="{ECC2BD5A-6CBD-4996-A02D-CB83460CF223}" name="ESSENTIAL"/>
  </tableColumns>
  <tableStyleInfo name="TableStyleMedium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A2A6ED2-1BFB-4BF7-B6D4-4AD3A9240B6B}" name="Table16" displayName="Table16" ref="N3:R6" totalsRowShown="0" headerRowDxfId="111" tableBorderDxfId="110">
  <autoFilter ref="N3:R6" xr:uid="{EA2A6ED2-1BFB-4BF7-B6D4-4AD3A9240B6B}"/>
  <tableColumns count="5">
    <tableColumn id="1" xr3:uid="{78028928-3E43-424B-A5A6-BBBAEFE2C021}" name="Sector" dataDxfId="109"/>
    <tableColumn id="2" xr3:uid="{70BE58BE-27EB-429A-9A10-00C97D0D12E5}" name="Period" dataDxfId="108"/>
    <tableColumn id="3" xr3:uid="{26DC1387-DD20-478E-9CF0-9C76328CC67C}" name="FOOD "/>
    <tableColumn id="4" xr3:uid="{12EC363B-ED47-48DA-9DCD-245ED2C57AF5}" name="HEALTH"/>
    <tableColumn id="5" xr3:uid="{D30C70C0-8830-459D-8A87-B68D8F8BD049}" name="ESSENTIAL"/>
  </tableColumns>
  <tableStyleInfo name="TableStyleMedium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3600D50-1EF3-4B2F-8FC4-C204E8DA4EB9}" name="Table17" displayName="Table17" ref="A34:AC60" totalsRowShown="0" headerRowDxfId="107" dataDxfId="106" tableBorderDxfId="105">
  <autoFilter ref="A34:AC60" xr:uid="{23600D50-1EF3-4B2F-8FC4-C204E8DA4EB9}"/>
  <tableColumns count="29">
    <tableColumn id="1" xr3:uid="{D25F4B87-B28C-4D94-B296-FEC64CC441D1}" name="Month" dataDxfId="104"/>
    <tableColumn id="2" xr3:uid="{2681823C-0880-428E-A0DB-4FF38ECE495F}" name="Crude oil price" dataDxfId="103"/>
    <tableColumn id="3" xr3:uid="{EF6C7214-7B8E-4CB6-B6D8-4634EBCD460F}" name="Cereals and products" dataDxfId="102"/>
    <tableColumn id="4" xr3:uid="{8AEFE994-E2D4-4DBA-A86F-D7B7ECAC66C3}" name="Meat and fish" dataDxfId="101"/>
    <tableColumn id="5" xr3:uid="{77509648-53CB-4139-BD07-3F75518F07BC}" name="Egg" dataDxfId="100"/>
    <tableColumn id="6" xr3:uid="{492E70A0-A4D0-4C01-8AAD-108338469AEB}" name="Milk and products" dataDxfId="99"/>
    <tableColumn id="7" xr3:uid="{22C64F1F-9307-47D4-9C2D-B1B63BC51BC7}" name="Oils and fats" dataDxfId="98"/>
    <tableColumn id="8" xr3:uid="{AAC6AB85-1A2F-4638-85A3-D0284C0E6651}" name="Fruits" dataDxfId="97"/>
    <tableColumn id="9" xr3:uid="{34D0A666-0413-43F1-BEA3-2F25E7A65CA6}" name="Vegetables" dataDxfId="96"/>
    <tableColumn id="10" xr3:uid="{92F94C5E-B5D1-407D-BAEC-ED5BD2549E44}" name="Pulses and products" dataDxfId="95"/>
    <tableColumn id="11" xr3:uid="{417809AB-5942-4E56-9221-D2822B737EDF}" name="Sugar and Confectionery" dataDxfId="94"/>
    <tableColumn id="12" xr3:uid="{611B41F7-9969-4D6D-9D0E-BBAF9169F417}" name="Spices" dataDxfId="93"/>
    <tableColumn id="13" xr3:uid="{CAE0D079-30B2-417F-A5B0-B207F7BD6944}" name="Non-alcoholic beverages" dataDxfId="92"/>
    <tableColumn id="14" xr3:uid="{73942FA7-A095-4983-A248-4EDB78273999}" name="Prepared meals, snacks, sweets etc." dataDxfId="91"/>
    <tableColumn id="15" xr3:uid="{24B6179A-33B2-4DAB-A6A2-816691E892FC}" name="Food and beverages" dataDxfId="90"/>
    <tableColumn id="16" xr3:uid="{68758B87-3039-40F7-9A5D-18EA2E001C30}" name="Pan, tobacco and intoxicants" dataDxfId="89"/>
    <tableColumn id="17" xr3:uid="{57070AE6-FCA8-4396-B387-272FF7545BC2}" name="Clothing" dataDxfId="88"/>
    <tableColumn id="18" xr3:uid="{086619E8-D5F5-47D8-91BC-0F91CA137CD7}" name="Footwear" dataDxfId="87"/>
    <tableColumn id="19" xr3:uid="{3356FC22-BB44-4DFC-BC8D-7695F72EBB8E}" name="Clothing and footwear" dataDxfId="86"/>
    <tableColumn id="20" xr3:uid="{91302A2C-05CC-4FDF-8126-C232D97BBB58}" name="Housing" dataDxfId="85"/>
    <tableColumn id="21" xr3:uid="{618BE3C7-8474-4AEB-8C2A-891BB5B2E020}" name="Fuel and light" dataDxfId="84"/>
    <tableColumn id="22" xr3:uid="{E138F361-35CA-4C3F-887A-9433963E8C67}" name="Household goods and services" dataDxfId="83"/>
    <tableColumn id="23" xr3:uid="{5CD3E6CC-43E6-47E1-BECB-9BE66203390B}" name="Health" dataDxfId="82"/>
    <tableColumn id="24" xr3:uid="{CE758D78-29C9-4BA1-BBA1-37B9E8477F55}" name="Transport and communication" dataDxfId="81"/>
    <tableColumn id="25" xr3:uid="{A5CA787A-AC9C-4099-AB0D-010C7DC54E73}" name="Recreation and amusement" dataDxfId="80"/>
    <tableColumn id="26" xr3:uid="{8CB8C9A7-8A33-4778-B1EE-1C137969ACA0}" name="Education" dataDxfId="79"/>
    <tableColumn id="27" xr3:uid="{9C4D1C66-B454-42B8-8E49-D957A7A35B43}" name="Personal care and effects" dataDxfId="78"/>
    <tableColumn id="28" xr3:uid="{7C0D92BE-86B6-447D-B7C6-B2B341F598B1}" name="Miscellaneous" dataDxfId="77"/>
    <tableColumn id="29" xr3:uid="{4684515F-0C56-447E-9DAA-3248E9AA3016}" name="General index" dataDxfId="76"/>
  </tableColumns>
  <tableStyleInfo name="TableStyleMedium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7CC3507-9EF2-47BF-892F-979A3CB374FE}" name="Table18" displayName="Table18" ref="A66:AC92" totalsRowShown="0" headerRowDxfId="75" dataDxfId="74" tableBorderDxfId="73">
  <autoFilter ref="A66:AC92" xr:uid="{17CC3507-9EF2-47BF-892F-979A3CB374FE}"/>
  <tableColumns count="29">
    <tableColumn id="1" xr3:uid="{0415A84A-9003-4B19-A318-7283BE7F7ECD}" name="Month" dataDxfId="72"/>
    <tableColumn id="2" xr3:uid="{3C79579F-4089-439C-9427-E651C0B4EFEE}" name="Crude oil price" dataDxfId="71"/>
    <tableColumn id="3" xr3:uid="{F3B1D572-5A49-48E2-8B28-F630315D0C4D}" name="Cereals and products" dataDxfId="70"/>
    <tableColumn id="4" xr3:uid="{9CFDC61B-E125-4CA3-84F1-663DA130C063}" name="Meat and fish" dataDxfId="69"/>
    <tableColumn id="5" xr3:uid="{D670B60B-8275-4F2C-BD82-23FFDD5FB8C3}" name="Egg" dataDxfId="68"/>
    <tableColumn id="6" xr3:uid="{295A4A3B-B3D5-4F7E-89EC-7BC4BD4FF225}" name="Milk and products" dataDxfId="67"/>
    <tableColumn id="7" xr3:uid="{8E225507-9C7F-4BB6-BD85-74D400E307C7}" name="Oils and fats" dataDxfId="66"/>
    <tableColumn id="8" xr3:uid="{8A24DF92-86BB-4ED6-AF35-BE165C7B83DD}" name="Fruits" dataDxfId="65"/>
    <tableColumn id="9" xr3:uid="{3B982D40-8AB3-495F-B6B5-67C009488548}" name="Vegetables" dataDxfId="64"/>
    <tableColumn id="10" xr3:uid="{55E77229-263D-4173-88A6-D2FC2C51FCE7}" name="Pulses and products" dataDxfId="63"/>
    <tableColumn id="11" xr3:uid="{0DC43AA9-960E-4E01-9881-00230D655B37}" name="Sugar and Confectionery" dataDxfId="62"/>
    <tableColumn id="12" xr3:uid="{EE00E9B0-202D-49AA-A1B7-5EE3AAB0D96D}" name="Spices" dataDxfId="61"/>
    <tableColumn id="13" xr3:uid="{E8165BF0-D3F8-4805-A74B-3EF64F54419B}" name="Non-alcoholic beverages" dataDxfId="60"/>
    <tableColumn id="14" xr3:uid="{B5460124-1E82-4B65-B382-21DBC700A22B}" name="Prepared meals, snacks, sweets etc." dataDxfId="59"/>
    <tableColumn id="15" xr3:uid="{146C0845-E3A3-4B73-8178-E597ECC9E882}" name="Food and beverages" dataDxfId="58"/>
    <tableColumn id="16" xr3:uid="{E59E1033-D219-452F-8E4F-0B5025B02F9F}" name="Pan, tobacco and intoxicants" dataDxfId="57"/>
    <tableColumn id="17" xr3:uid="{021A9A35-6C2B-4157-A7F6-1B4B68458C82}" name="Clothing" dataDxfId="56"/>
    <tableColumn id="18" xr3:uid="{86CACD46-8817-45C6-961F-DA45B86EFAB5}" name="Footwear" dataDxfId="55"/>
    <tableColumn id="19" xr3:uid="{9B58AFAB-B273-4B80-A62F-1438F6E40E8D}" name="Clothing and footwear" dataDxfId="54"/>
    <tableColumn id="20" xr3:uid="{1CE1BBEA-A7DF-4A78-961F-D8CD529FD701}" name="Housing" dataDxfId="53"/>
    <tableColumn id="21" xr3:uid="{6447E2AE-168E-495E-8518-965D35D5FF22}" name="Fuel and light" dataDxfId="52"/>
    <tableColumn id="22" xr3:uid="{BA7E096D-057A-4751-91A1-8B47CBB389CF}" name="Household goods and services" dataDxfId="51"/>
    <tableColumn id="23" xr3:uid="{79ECA4BA-1526-4477-9B14-878A4024D4F7}" name="Health" dataDxfId="50"/>
    <tableColumn id="24" xr3:uid="{A5B7BAA6-9C84-4E89-9563-E140FE609E7D}" name="Transport and communication" dataDxfId="49"/>
    <tableColumn id="25" xr3:uid="{D46FFA98-278A-4164-BB49-F3F00565E17E}" name="Recreation and amusement" dataDxfId="48"/>
    <tableColumn id="26" xr3:uid="{69B2B0F5-CFFC-4D05-93FD-D2BCEEA83F54}" name="Education" dataDxfId="47"/>
    <tableColumn id="27" xr3:uid="{BCC8B731-77A4-44DA-BD5D-612FD96F77F3}" name="Personal care and effects" dataDxfId="46"/>
    <tableColumn id="28" xr3:uid="{6C6A5059-98DE-415A-94CE-1590DDA6EA17}" name="Miscellaneous" dataDxfId="45"/>
    <tableColumn id="29" xr3:uid="{AC5727C6-9B8E-411F-923F-A3AB7887E8C2}" name="General index" dataDxfId="44"/>
  </tableColumns>
  <tableStyleInfo name="TableStyleMedium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E281B8F-E3BE-4F41-9996-5179832E0C2F}" name="Table19" displayName="Table19" ref="A99:AC125" totalsRowShown="0" headerRowDxfId="43" dataDxfId="42" tableBorderDxfId="41">
  <autoFilter ref="A99:AC125" xr:uid="{9E281B8F-E3BE-4F41-9996-5179832E0C2F}"/>
  <tableColumns count="29">
    <tableColumn id="1" xr3:uid="{4E6D5D4D-7D6F-4046-AF89-084E6F5D507E}" name="Month" dataDxfId="40"/>
    <tableColumn id="2" xr3:uid="{A990B86A-C551-45E3-BB3F-C4E8D6C491A0}" name="Crude oil price" dataDxfId="39"/>
    <tableColumn id="3" xr3:uid="{2A396BA5-A354-4599-890C-D6DE1346FA53}" name="Cereals and products" dataDxfId="38"/>
    <tableColumn id="4" xr3:uid="{144BA576-BDF2-407F-9E63-C79CB9E88079}" name="Meat and fish" dataDxfId="37"/>
    <tableColumn id="5" xr3:uid="{8A63B4F4-DF94-4E1F-971A-B9F70A57A700}" name="Egg" dataDxfId="36"/>
    <tableColumn id="6" xr3:uid="{2083699C-4A2A-401E-AA9B-2C6086D5BF93}" name="Milk and products" dataDxfId="35"/>
    <tableColumn id="7" xr3:uid="{7CDBB9F0-4CD0-43E5-84F9-4FEE0688CF86}" name="Oils and fats" dataDxfId="34"/>
    <tableColumn id="8" xr3:uid="{980B4378-1C02-4805-86AC-B0A3CF0DAFEF}" name="Fruits" dataDxfId="33"/>
    <tableColumn id="9" xr3:uid="{5C58C818-69EA-47F5-8A79-6774BEA8C695}" name="Vegetables" dataDxfId="32"/>
    <tableColumn id="10" xr3:uid="{BAD9994F-D2A4-404E-B3F0-21FD7402A335}" name="Pulses and products" dataDxfId="31"/>
    <tableColumn id="11" xr3:uid="{B261DFCF-3737-42C5-89C8-E12800459EA1}" name="Sugar and Confectionery" dataDxfId="30"/>
    <tableColumn id="12" xr3:uid="{D971186F-097A-4AC4-B887-A24DE8D6613B}" name="Spices" dataDxfId="29"/>
    <tableColumn id="13" xr3:uid="{9339B4CC-AC22-461A-AA3D-ECAE0C30869B}" name="Non-alcoholic beverages" dataDxfId="28"/>
    <tableColumn id="14" xr3:uid="{273E7C30-D134-4AB4-B8A2-186A1803883C}" name="Prepared meals, snacks, sweets etc." dataDxfId="27"/>
    <tableColumn id="15" xr3:uid="{BD2D5D8F-DC2F-4054-9622-BE4630F39186}" name="Food and beverages" dataDxfId="26"/>
    <tableColumn id="16" xr3:uid="{E4EE6012-F9A2-4DBD-B8E4-952ED6D7FE4A}" name="Pan, tobacco and intoxicants" dataDxfId="25"/>
    <tableColumn id="17" xr3:uid="{86D0150B-46A2-47FC-8B03-BA6FBFCFCE86}" name="Clothing" dataDxfId="24"/>
    <tableColumn id="18" xr3:uid="{E1DA1F91-03D4-49F4-B30A-A098D321A41D}" name="Footwear" dataDxfId="23"/>
    <tableColumn id="19" xr3:uid="{96AAE0F4-40B8-4130-B7D7-D57D70312BFD}" name="Clothing and footwear" dataDxfId="22"/>
    <tableColumn id="20" xr3:uid="{8423CCDC-C538-45EA-9A02-1705EA0824F1}" name="Housing" dataDxfId="21"/>
    <tableColumn id="21" xr3:uid="{FED4A0FB-26DF-427C-A7EA-F5845B945E13}" name="Fuel and light" dataDxfId="20"/>
    <tableColumn id="22" xr3:uid="{6EDFAC0A-DD63-42FF-A950-A9D678576A02}" name="Household goods and services" dataDxfId="19"/>
    <tableColumn id="23" xr3:uid="{127A7624-C6A9-4EC9-A9B6-8977C82578D6}" name="Health" dataDxfId="18"/>
    <tableColumn id="24" xr3:uid="{A37AE48B-6156-432F-BC36-B0A46BF394F5}" name="Transport and communication" dataDxfId="17"/>
    <tableColumn id="25" xr3:uid="{79B5FF0C-5D35-4F4A-80DA-E7A347021131}" name="Recreation and amusement" dataDxfId="16"/>
    <tableColumn id="26" xr3:uid="{196C5963-849F-4AF9-B42F-9F1630B52704}" name="Education" dataDxfId="15"/>
    <tableColumn id="27" xr3:uid="{72776D9A-D0A6-44CB-9809-9DB9AE6F5508}" name="Personal care and effects" dataDxfId="14"/>
    <tableColumn id="28" xr3:uid="{C82367E7-29F8-48AA-8CFD-D91AAA470564}" name="Miscellaneous" dataDxfId="13"/>
    <tableColumn id="29" xr3:uid="{5C6D4FC6-C1C6-44C5-AF4A-98146F35F101}" name="General index" dataDxfId="12"/>
  </tableColumns>
  <tableStyleInfo name="TableStyleMedium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750D8FA-6269-4BBC-85C7-7B9EED56007D}" name="Table20" displayName="Table20" ref="B3:C30" totalsRowShown="0" headerRowDxfId="11" tableBorderDxfId="10">
  <autoFilter ref="B3:C30" xr:uid="{6750D8FA-6269-4BBC-85C7-7B9EED56007D}"/>
  <tableColumns count="2">
    <tableColumn id="1" xr3:uid="{114AE75D-9596-42E6-B2C1-C50F4DDEC1E3}" name="Category" dataDxfId="9"/>
    <tableColumn id="2" xr3:uid="{A7E1D16A-FEA1-47FE-9333-BA75CD321EF8}" name="Correlation" dataDxfId="8" dataCellStyle="Percent"/>
  </tableColumns>
  <tableStyleInfo name="TableStyleMedium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5056BEB-7C21-4DA1-B860-CC1E22AB76BD}" name="Table21" displayName="Table21" ref="E3:F30" totalsRowShown="0" headerRowDxfId="7" headerRowBorderDxfId="6" tableBorderDxfId="5">
  <autoFilter ref="E3:F30" xr:uid="{C5056BEB-7C21-4DA1-B860-CC1E22AB76BD}"/>
  <tableColumns count="2">
    <tableColumn id="1" xr3:uid="{6A4B3555-6D7D-4BE9-ABE9-A47001A3D68E}" name="Category" dataDxfId="4"/>
    <tableColumn id="2" xr3:uid="{9860DC13-0480-464C-AD95-E3196CBCB2BC}" name="Correlation" dataDxfId="3" dataCellStyle="Percent"/>
  </tableColumns>
  <tableStyleInfo name="TableStyleMedium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EE5607A-3F3E-4EDB-9791-FADCA6BE3316}" name="Table22" displayName="Table22" ref="H3:I30" totalsRowShown="0" headerRowDxfId="2">
  <autoFilter ref="H3:I30" xr:uid="{FEE5607A-3F3E-4EDB-9791-FADCA6BE3316}"/>
  <tableColumns count="2">
    <tableColumn id="1" xr3:uid="{0552FF72-15F4-4863-A9F8-15290385CFC4}" name="Category" dataDxfId="1"/>
    <tableColumn id="2" xr3:uid="{E6359A7F-FCDB-49B2-93AF-76F7F232F24C}" name="Correlation" dataDxfId="0" dataCellStyle="Percent"/>
  </tableColumns>
  <tableStyleInfo name="TableStyleMedium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7BC443C-378E-4F99-84D5-38F1220DCD73}" name="Table39" displayName="Table39" ref="F178:G205" totalsRowShown="0">
  <autoFilter ref="F178:G205" xr:uid="{97BC443C-378E-4F99-84D5-38F1220DCD73}"/>
  <tableColumns count="2">
    <tableColumn id="1" xr3:uid="{E08372A7-E860-48E0-9CFE-15A5751790CE}" name="Category"/>
    <tableColumn id="2" xr3:uid="{DCE7B07E-7977-4B7C-800B-7D0F9ECE6A40}" name="Correlation" dataDxfId="219" dataCellStyle="Percent"/>
  </tableColumns>
  <tableStyleInfo name="TableStyleMedium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AB1F09D4-BA7C-4AC2-ADDE-F25958B725E9}" name="Table41" displayName="Table41" ref="K178:L205" totalsRowShown="0">
  <autoFilter ref="K178:L205" xr:uid="{AB1F09D4-BA7C-4AC2-ADDE-F25958B725E9}"/>
  <tableColumns count="2">
    <tableColumn id="1" xr3:uid="{B7AC2DE9-ABB8-4F22-8638-1809E97D1D81}" name="Category"/>
    <tableColumn id="2" xr3:uid="{C4C28463-4F6A-434B-BF80-F8A2BF70909C}" name="Correlation" dataDxfId="218" dataCellStyle="Percent"/>
  </tableColumns>
  <tableStyleInfo name="TableStyleMedium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1F1DC7A-67F6-48F6-B97D-245B8BA613A0}" name="Table42" displayName="Table42" ref="P178:Q205" totalsRowShown="0">
  <autoFilter ref="P178:Q205" xr:uid="{E1F1DC7A-67F6-48F6-B97D-245B8BA613A0}"/>
  <tableColumns count="2">
    <tableColumn id="1" xr3:uid="{1B00C15D-943B-44EE-B1FD-79C2D8D8FF8B}" name="Category"/>
    <tableColumn id="2" xr3:uid="{9FA4C787-BED8-4AAF-85BE-CFE4FCA6FE37}" name="Correlation" dataDxfId="217" dataCellStyle="Percent"/>
  </tableColumns>
  <tableStyleInfo name="TableStyleMedium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D135CF-DCFE-413F-BCFE-DC5E2B8852C0}" name="Table142725" displayName="Table142725" ref="B134:F137" totalsRowShown="0" tableBorderDxfId="216">
  <autoFilter ref="B134:F137" xr:uid="{00D135CF-DCFE-413F-BCFE-DC5E2B8852C0}"/>
  <tableColumns count="5">
    <tableColumn id="1" xr3:uid="{9604A93C-7F34-434C-BE3E-A293C27E9487}" name="Sector"/>
    <tableColumn id="2" xr3:uid="{83C240B9-B910-45AA-A051-53ECE1A5E5EF}" name="Period"/>
    <tableColumn id="3" xr3:uid="{9F2BE345-2B98-455C-AE3B-15D9B68AEB79}" name="FOOD " dataDxfId="215"/>
    <tableColumn id="4" xr3:uid="{3A7F32EF-788A-4F04-8A23-94553551FD81}" name="HEALTH" dataDxfId="214"/>
    <tableColumn id="5" xr3:uid="{7D9869C4-E045-4912-A5E9-F63284D2E4DF}" name="ESSENTIAL" dataDxfId="213"/>
  </tableColumns>
  <tableStyleInfo name="TableStyleMedium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360D765-438D-4E72-9D4C-CAE7938387FD}" name="Table152826" displayName="Table152826" ref="H134:L137" totalsRowShown="0" headerRowDxfId="212" tableBorderDxfId="211">
  <autoFilter ref="H134:L137" xr:uid="{0360D765-438D-4E72-9D4C-CAE7938387FD}"/>
  <tableColumns count="5">
    <tableColumn id="1" xr3:uid="{6ED55C85-EEF1-483D-83D5-A3DF77F55EE1}" name="Sector" dataDxfId="210"/>
    <tableColumn id="2" xr3:uid="{ADE9122D-039A-4D36-AB0B-B468FD2F8AA9}" name="Period" dataDxfId="209"/>
    <tableColumn id="3" xr3:uid="{CE461BCE-3145-46B0-9068-9ED8D72DED70}" name="FOOD "/>
    <tableColumn id="4" xr3:uid="{82E172F7-D48D-4807-A68E-9921858F9AEF}" name="HEALTH"/>
    <tableColumn id="5" xr3:uid="{CA171160-E5CC-4C73-B17F-F9C2F7FEE08E}" name="ESSENTIAL"/>
  </tableColumns>
  <tableStyleInfo name="TableStyleMedium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2D351F1-49B1-45CE-93DB-9A95B303979B}" name="Table162930" displayName="Table162930" ref="N134:R137" totalsRowShown="0" headerRowDxfId="208" tableBorderDxfId="207">
  <autoFilter ref="N134:R137" xr:uid="{E2D351F1-49B1-45CE-93DB-9A95B303979B}"/>
  <tableColumns count="5">
    <tableColumn id="1" xr3:uid="{633ACDE7-5503-450F-BD3C-169A5DDF3E89}" name="Sector" dataDxfId="206"/>
    <tableColumn id="2" xr3:uid="{EEAC98D4-DD4A-4782-94EC-3E108DDA4380}" name="Period" dataDxfId="205"/>
    <tableColumn id="3" xr3:uid="{F383513D-F8F9-48A8-8327-0AD3A02A720C}" name="FOOD "/>
    <tableColumn id="4" xr3:uid="{A29937C5-6B1A-4A6D-8135-ECCB14D669AD}" name="HEALTH"/>
    <tableColumn id="5" xr3:uid="{8F5492C4-5374-4BC0-8C7D-4E5A4F1C379E}" name="ESSENTIAL"/>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drawing" Target="../drawings/drawing2.xml"/><Relationship Id="rId6" Type="http://schemas.openxmlformats.org/officeDocument/2006/relationships/table" Target="../tables/table6.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drawing" Target="../drawings/drawing4.xml"/><Relationship Id="rId7" Type="http://schemas.microsoft.com/office/2007/relationships/slicer" Target="../slicers/slicer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table" Target="../tables/table17.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9.xml"/><Relationship Id="rId7" Type="http://schemas.openxmlformats.org/officeDocument/2006/relationships/table" Target="../tables/table23.xml"/><Relationship Id="rId2" Type="http://schemas.openxmlformats.org/officeDocument/2006/relationships/table" Target="../tables/table18.xml"/><Relationship Id="rId1" Type="http://schemas.openxmlformats.org/officeDocument/2006/relationships/drawing" Target="../drawings/drawing6.xml"/><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s>
</file>

<file path=xl/worksheets/_rels/sheet8.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table" Target="../tables/table25.xml"/><Relationship Id="rId7" Type="http://schemas.openxmlformats.org/officeDocument/2006/relationships/table" Target="../tables/table29.xml"/><Relationship Id="rId2" Type="http://schemas.openxmlformats.org/officeDocument/2006/relationships/table" Target="../tables/table24.xml"/><Relationship Id="rId1" Type="http://schemas.openxmlformats.org/officeDocument/2006/relationships/drawing" Target="../drawings/drawing7.xml"/><Relationship Id="rId6" Type="http://schemas.openxmlformats.org/officeDocument/2006/relationships/table" Target="../tables/table28.xml"/><Relationship Id="rId5" Type="http://schemas.openxmlformats.org/officeDocument/2006/relationships/table" Target="../tables/table27.xml"/><Relationship Id="rId4"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66B5A-9FD5-4497-B1F0-E7D939905628}">
  <dimension ref="A1:AD374"/>
  <sheetViews>
    <sheetView topLeftCell="P286" zoomScale="92" zoomScaleNormal="92" workbookViewId="0">
      <selection activeCell="D264" sqref="D264:U266"/>
    </sheetView>
  </sheetViews>
  <sheetFormatPr defaultRowHeight="14.4" x14ac:dyDescent="0.3"/>
  <cols>
    <col min="1" max="1" width="11.5546875" bestFit="1" customWidth="1"/>
    <col min="2" max="2" width="7.33203125" bestFit="1" customWidth="1"/>
    <col min="3" max="3" width="10.33203125" bestFit="1" customWidth="1"/>
    <col min="4" max="4" width="21.5546875" bestFit="1" customWidth="1"/>
    <col min="5" max="5" width="15.21875" bestFit="1" customWidth="1"/>
    <col min="6" max="6" width="6.5546875" bestFit="1" customWidth="1"/>
    <col min="7" max="7" width="19" bestFit="1" customWidth="1"/>
    <col min="8" max="8" width="14" bestFit="1" customWidth="1"/>
    <col min="9" max="9" width="8.33203125" bestFit="1" customWidth="1"/>
    <col min="10" max="10" width="13" bestFit="1" customWidth="1"/>
    <col min="11" max="11" width="20.6640625" bestFit="1" customWidth="1"/>
    <col min="12" max="12" width="24.5546875" bestFit="1" customWidth="1"/>
    <col min="13" max="13" width="8.77734375" bestFit="1" customWidth="1"/>
    <col min="14" max="14" width="24.5546875" bestFit="1" customWidth="1"/>
    <col min="15" max="15" width="34.88671875" bestFit="1" customWidth="1"/>
    <col min="16" max="16" width="20.77734375" bestFit="1" customWidth="1"/>
    <col min="17" max="17" width="28" bestFit="1" customWidth="1"/>
    <col min="18" max="18" width="10.44140625" bestFit="1" customWidth="1"/>
    <col min="19" max="19" width="11.6640625" bestFit="1" customWidth="1"/>
    <col min="20" max="20" width="22.6640625" bestFit="1" customWidth="1"/>
    <col min="21" max="21" width="10.33203125" bestFit="1" customWidth="1"/>
    <col min="22" max="22" width="15" bestFit="1" customWidth="1"/>
    <col min="23" max="23" width="29.5546875" bestFit="1" customWidth="1"/>
    <col min="24" max="24" width="9.21875" bestFit="1" customWidth="1"/>
    <col min="25" max="25" width="29.33203125" bestFit="1" customWidth="1"/>
    <col min="26" max="26" width="27.5546875" bestFit="1" customWidth="1"/>
    <col min="27" max="27" width="11.77734375" bestFit="1" customWidth="1"/>
    <col min="28" max="28" width="25.109375" bestFit="1" customWidth="1"/>
    <col min="29" max="29" width="15.6640625" bestFit="1" customWidth="1"/>
    <col min="30" max="30" width="15.44140625" bestFit="1" customWidth="1"/>
  </cols>
  <sheetData>
    <row r="1" spans="1:30" x14ac:dyDescent="0.3">
      <c r="A1" t="s">
        <v>171</v>
      </c>
      <c r="B1" t="s">
        <v>172</v>
      </c>
      <c r="C1" t="s">
        <v>173</v>
      </c>
      <c r="D1" t="s">
        <v>165</v>
      </c>
      <c r="E1" t="s">
        <v>165</v>
      </c>
      <c r="F1" t="s">
        <v>165</v>
      </c>
      <c r="G1" t="s">
        <v>165</v>
      </c>
      <c r="H1" t="s">
        <v>165</v>
      </c>
      <c r="I1" t="s">
        <v>165</v>
      </c>
      <c r="J1" t="s">
        <v>165</v>
      </c>
      <c r="K1" t="s">
        <v>165</v>
      </c>
      <c r="L1" t="s">
        <v>165</v>
      </c>
      <c r="M1" t="s">
        <v>165</v>
      </c>
      <c r="N1" t="s">
        <v>166</v>
      </c>
      <c r="O1" t="s">
        <v>165</v>
      </c>
      <c r="P1" t="s">
        <v>165</v>
      </c>
      <c r="Q1" t="s">
        <v>166</v>
      </c>
      <c r="R1" t="s">
        <v>17</v>
      </c>
      <c r="S1" t="s">
        <v>17</v>
      </c>
      <c r="T1" t="s">
        <v>17</v>
      </c>
      <c r="U1" t="s">
        <v>167</v>
      </c>
      <c r="V1" t="s">
        <v>21</v>
      </c>
      <c r="W1" t="s">
        <v>167</v>
      </c>
      <c r="X1" t="s">
        <v>23</v>
      </c>
      <c r="Y1" t="s">
        <v>24</v>
      </c>
      <c r="Z1" t="s">
        <v>166</v>
      </c>
      <c r="AA1" t="s">
        <v>26</v>
      </c>
      <c r="AB1" t="s">
        <v>169</v>
      </c>
      <c r="AC1" t="s">
        <v>170</v>
      </c>
      <c r="AD1" t="s">
        <v>168</v>
      </c>
    </row>
    <row r="2" spans="1:30" x14ac:dyDescent="0.3">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row>
    <row r="3" spans="1:30" x14ac:dyDescent="0.3">
      <c r="A3" t="s">
        <v>30</v>
      </c>
      <c r="B3">
        <v>2013</v>
      </c>
      <c r="C3" t="s">
        <v>31</v>
      </c>
      <c r="D3">
        <v>107.5</v>
      </c>
      <c r="E3">
        <v>106.3</v>
      </c>
      <c r="F3">
        <v>108.1</v>
      </c>
      <c r="G3">
        <v>104.9</v>
      </c>
      <c r="H3">
        <v>106.1</v>
      </c>
      <c r="I3">
        <v>103.9</v>
      </c>
      <c r="J3">
        <v>101.9</v>
      </c>
      <c r="K3">
        <v>106.1</v>
      </c>
      <c r="L3">
        <v>106.8</v>
      </c>
      <c r="M3">
        <v>103.1</v>
      </c>
      <c r="N3">
        <v>104.8</v>
      </c>
      <c r="O3">
        <v>106.7</v>
      </c>
      <c r="P3">
        <v>105.5</v>
      </c>
      <c r="Q3">
        <v>105.1</v>
      </c>
      <c r="R3">
        <v>106.5</v>
      </c>
      <c r="S3">
        <v>105.8</v>
      </c>
      <c r="T3">
        <v>106.4</v>
      </c>
      <c r="U3" t="s">
        <v>32</v>
      </c>
      <c r="V3">
        <v>105.5</v>
      </c>
      <c r="W3">
        <v>104.8</v>
      </c>
      <c r="X3">
        <v>104</v>
      </c>
      <c r="Y3">
        <v>103.3</v>
      </c>
      <c r="Z3">
        <v>103.4</v>
      </c>
      <c r="AA3">
        <v>103.8</v>
      </c>
      <c r="AB3">
        <v>104.7</v>
      </c>
      <c r="AC3">
        <v>104</v>
      </c>
      <c r="AD3">
        <v>105.1</v>
      </c>
    </row>
    <row r="4" spans="1:30" x14ac:dyDescent="0.3">
      <c r="A4" t="s">
        <v>33</v>
      </c>
      <c r="B4">
        <v>2013</v>
      </c>
      <c r="C4" t="s">
        <v>31</v>
      </c>
      <c r="D4">
        <v>110.5</v>
      </c>
      <c r="E4">
        <v>109.1</v>
      </c>
      <c r="F4">
        <v>113</v>
      </c>
      <c r="G4">
        <v>103.6</v>
      </c>
      <c r="H4">
        <v>103.4</v>
      </c>
      <c r="I4">
        <v>102.3</v>
      </c>
      <c r="J4">
        <v>102.9</v>
      </c>
      <c r="K4">
        <v>105.8</v>
      </c>
      <c r="L4">
        <v>105.1</v>
      </c>
      <c r="M4">
        <v>101.8</v>
      </c>
      <c r="N4">
        <v>105.1</v>
      </c>
      <c r="O4">
        <v>107.9</v>
      </c>
      <c r="P4">
        <v>105.9</v>
      </c>
      <c r="Q4">
        <v>105.2</v>
      </c>
      <c r="R4">
        <v>105.9</v>
      </c>
      <c r="S4">
        <v>105</v>
      </c>
      <c r="T4">
        <v>105.8</v>
      </c>
      <c r="U4" t="s">
        <v>34</v>
      </c>
      <c r="V4">
        <v>105.4</v>
      </c>
      <c r="W4">
        <v>104.8</v>
      </c>
      <c r="X4">
        <v>104.1</v>
      </c>
      <c r="Y4">
        <v>103.2</v>
      </c>
      <c r="Z4">
        <v>102.9</v>
      </c>
      <c r="AA4">
        <v>103.5</v>
      </c>
      <c r="AB4">
        <v>104.3</v>
      </c>
      <c r="AC4">
        <v>103.7</v>
      </c>
      <c r="AD4">
        <v>104</v>
      </c>
    </row>
    <row r="5" spans="1:30" x14ac:dyDescent="0.3">
      <c r="A5" t="s">
        <v>35</v>
      </c>
      <c r="B5">
        <v>2013</v>
      </c>
      <c r="C5" t="s">
        <v>31</v>
      </c>
      <c r="D5">
        <v>108.4</v>
      </c>
      <c r="E5">
        <v>107.3</v>
      </c>
      <c r="F5">
        <v>110</v>
      </c>
      <c r="G5">
        <v>104.4</v>
      </c>
      <c r="H5">
        <v>105.1</v>
      </c>
      <c r="I5">
        <v>103.2</v>
      </c>
      <c r="J5">
        <v>102.2</v>
      </c>
      <c r="K5">
        <v>106</v>
      </c>
      <c r="L5">
        <v>106.2</v>
      </c>
      <c r="M5">
        <v>102.7</v>
      </c>
      <c r="N5">
        <v>104.9</v>
      </c>
      <c r="O5">
        <v>107.3</v>
      </c>
      <c r="P5">
        <v>105.6</v>
      </c>
      <c r="Q5">
        <v>105.1</v>
      </c>
      <c r="R5">
        <v>106.3</v>
      </c>
      <c r="S5">
        <v>105.5</v>
      </c>
      <c r="T5">
        <v>106.2</v>
      </c>
      <c r="U5" t="s">
        <v>34</v>
      </c>
      <c r="V5">
        <v>105.5</v>
      </c>
      <c r="W5">
        <v>104.8</v>
      </c>
      <c r="X5">
        <v>104</v>
      </c>
      <c r="Y5">
        <v>103.2</v>
      </c>
      <c r="Z5">
        <v>103.1</v>
      </c>
      <c r="AA5">
        <v>103.6</v>
      </c>
      <c r="AB5">
        <v>104.5</v>
      </c>
      <c r="AC5">
        <v>103.9</v>
      </c>
      <c r="AD5">
        <v>104.6</v>
      </c>
    </row>
    <row r="6" spans="1:30" x14ac:dyDescent="0.3">
      <c r="A6" t="s">
        <v>30</v>
      </c>
      <c r="B6">
        <v>2013</v>
      </c>
      <c r="C6" t="s">
        <v>36</v>
      </c>
      <c r="D6">
        <v>109.2</v>
      </c>
      <c r="E6">
        <v>108.7</v>
      </c>
      <c r="F6">
        <v>110.2</v>
      </c>
      <c r="G6">
        <v>105.4</v>
      </c>
      <c r="H6">
        <v>106.7</v>
      </c>
      <c r="I6">
        <v>104</v>
      </c>
      <c r="J6">
        <v>102.4</v>
      </c>
      <c r="K6">
        <v>105.9</v>
      </c>
      <c r="L6">
        <v>105.7</v>
      </c>
      <c r="M6">
        <v>103.1</v>
      </c>
      <c r="N6">
        <v>105.1</v>
      </c>
      <c r="O6">
        <v>107.7</v>
      </c>
      <c r="P6">
        <v>106.3</v>
      </c>
      <c r="Q6">
        <v>105.6</v>
      </c>
      <c r="R6">
        <v>107.1</v>
      </c>
      <c r="S6">
        <v>106.3</v>
      </c>
      <c r="T6">
        <v>107</v>
      </c>
      <c r="U6" t="s">
        <v>32</v>
      </c>
      <c r="V6">
        <v>106.2</v>
      </c>
      <c r="W6">
        <v>105.2</v>
      </c>
      <c r="X6">
        <v>104.4</v>
      </c>
      <c r="Y6">
        <v>103.9</v>
      </c>
      <c r="Z6">
        <v>104</v>
      </c>
      <c r="AA6">
        <v>104.1</v>
      </c>
      <c r="AB6">
        <v>104.6</v>
      </c>
      <c r="AC6">
        <v>104.4</v>
      </c>
      <c r="AD6">
        <v>105.8</v>
      </c>
    </row>
    <row r="7" spans="1:30" x14ac:dyDescent="0.3">
      <c r="A7" t="s">
        <v>33</v>
      </c>
      <c r="B7">
        <v>2013</v>
      </c>
      <c r="C7" t="s">
        <v>36</v>
      </c>
      <c r="D7">
        <v>112.9</v>
      </c>
      <c r="E7">
        <v>112.9</v>
      </c>
      <c r="F7">
        <v>116.9</v>
      </c>
      <c r="G7">
        <v>104</v>
      </c>
      <c r="H7">
        <v>103.5</v>
      </c>
      <c r="I7">
        <v>103.1</v>
      </c>
      <c r="J7">
        <v>104.9</v>
      </c>
      <c r="K7">
        <v>104.1</v>
      </c>
      <c r="L7">
        <v>103.8</v>
      </c>
      <c r="M7">
        <v>102.3</v>
      </c>
      <c r="N7">
        <v>106</v>
      </c>
      <c r="O7">
        <v>109</v>
      </c>
      <c r="P7">
        <v>107.2</v>
      </c>
      <c r="Q7">
        <v>106</v>
      </c>
      <c r="R7">
        <v>106.6</v>
      </c>
      <c r="S7">
        <v>105.5</v>
      </c>
      <c r="T7">
        <v>106.4</v>
      </c>
      <c r="U7" t="s">
        <v>37</v>
      </c>
      <c r="V7">
        <v>105.7</v>
      </c>
      <c r="W7">
        <v>105.2</v>
      </c>
      <c r="X7">
        <v>104.7</v>
      </c>
      <c r="Y7">
        <v>104.4</v>
      </c>
      <c r="Z7">
        <v>103.3</v>
      </c>
      <c r="AA7">
        <v>103.7</v>
      </c>
      <c r="AB7">
        <v>104.3</v>
      </c>
      <c r="AC7">
        <v>104.3</v>
      </c>
      <c r="AD7">
        <v>104.7</v>
      </c>
    </row>
    <row r="8" spans="1:30" x14ac:dyDescent="0.3">
      <c r="A8" t="s">
        <v>35</v>
      </c>
      <c r="B8">
        <v>2013</v>
      </c>
      <c r="C8" t="s">
        <v>36</v>
      </c>
      <c r="D8">
        <v>110.4</v>
      </c>
      <c r="E8">
        <v>110.2</v>
      </c>
      <c r="F8">
        <v>112.8</v>
      </c>
      <c r="G8">
        <v>104.9</v>
      </c>
      <c r="H8">
        <v>105.5</v>
      </c>
      <c r="I8">
        <v>103.6</v>
      </c>
      <c r="J8">
        <v>103.2</v>
      </c>
      <c r="K8">
        <v>105.3</v>
      </c>
      <c r="L8">
        <v>105.1</v>
      </c>
      <c r="M8">
        <v>102.8</v>
      </c>
      <c r="N8">
        <v>105.5</v>
      </c>
      <c r="O8">
        <v>108.3</v>
      </c>
      <c r="P8">
        <v>106.6</v>
      </c>
      <c r="Q8">
        <v>105.7</v>
      </c>
      <c r="R8">
        <v>106.9</v>
      </c>
      <c r="S8">
        <v>106</v>
      </c>
      <c r="T8">
        <v>106.8</v>
      </c>
      <c r="U8" t="s">
        <v>37</v>
      </c>
      <c r="V8">
        <v>106</v>
      </c>
      <c r="W8">
        <v>105.2</v>
      </c>
      <c r="X8">
        <v>104.5</v>
      </c>
      <c r="Y8">
        <v>104.2</v>
      </c>
      <c r="Z8">
        <v>103.6</v>
      </c>
      <c r="AA8">
        <v>103.9</v>
      </c>
      <c r="AB8">
        <v>104.5</v>
      </c>
      <c r="AC8">
        <v>104.4</v>
      </c>
      <c r="AD8">
        <v>105.3</v>
      </c>
    </row>
    <row r="9" spans="1:30" x14ac:dyDescent="0.3">
      <c r="A9" t="s">
        <v>30</v>
      </c>
      <c r="B9">
        <v>2013</v>
      </c>
      <c r="C9" t="s">
        <v>38</v>
      </c>
      <c r="D9">
        <v>110.2</v>
      </c>
      <c r="E9">
        <v>108.8</v>
      </c>
      <c r="F9">
        <v>109.9</v>
      </c>
      <c r="G9">
        <v>105.6</v>
      </c>
      <c r="H9">
        <v>106.2</v>
      </c>
      <c r="I9">
        <v>105.7</v>
      </c>
      <c r="J9">
        <v>101.4</v>
      </c>
      <c r="K9">
        <v>105.7</v>
      </c>
      <c r="L9">
        <v>105</v>
      </c>
      <c r="M9">
        <v>103.3</v>
      </c>
      <c r="N9">
        <v>105.6</v>
      </c>
      <c r="O9">
        <v>108.2</v>
      </c>
      <c r="P9">
        <v>106.6</v>
      </c>
      <c r="Q9">
        <v>106.5</v>
      </c>
      <c r="R9">
        <v>107.6</v>
      </c>
      <c r="S9">
        <v>106.8</v>
      </c>
      <c r="T9">
        <v>107.5</v>
      </c>
      <c r="U9" t="s">
        <v>32</v>
      </c>
      <c r="V9">
        <v>106.1</v>
      </c>
      <c r="W9">
        <v>105.6</v>
      </c>
      <c r="X9">
        <v>104.7</v>
      </c>
      <c r="Y9">
        <v>104.6</v>
      </c>
      <c r="Z9">
        <v>104</v>
      </c>
      <c r="AA9">
        <v>104.3</v>
      </c>
      <c r="AB9">
        <v>104.3</v>
      </c>
      <c r="AC9">
        <v>104.6</v>
      </c>
      <c r="AD9">
        <v>106</v>
      </c>
    </row>
    <row r="10" spans="1:30" x14ac:dyDescent="0.3">
      <c r="A10" t="s">
        <v>33</v>
      </c>
      <c r="B10">
        <v>2013</v>
      </c>
      <c r="C10" t="s">
        <v>38</v>
      </c>
      <c r="D10">
        <v>113.9</v>
      </c>
      <c r="E10">
        <v>111.4</v>
      </c>
      <c r="F10">
        <v>113.2</v>
      </c>
      <c r="G10">
        <v>104.3</v>
      </c>
      <c r="H10">
        <v>102.7</v>
      </c>
      <c r="I10">
        <v>104.9</v>
      </c>
      <c r="J10">
        <v>103.8</v>
      </c>
      <c r="K10">
        <v>103.5</v>
      </c>
      <c r="L10">
        <v>102.6</v>
      </c>
      <c r="M10">
        <v>102.4</v>
      </c>
      <c r="N10">
        <v>107</v>
      </c>
      <c r="O10">
        <v>109.8</v>
      </c>
      <c r="P10">
        <v>107.3</v>
      </c>
      <c r="Q10">
        <v>106.8</v>
      </c>
      <c r="R10">
        <v>107.2</v>
      </c>
      <c r="S10">
        <v>106</v>
      </c>
      <c r="T10">
        <v>107</v>
      </c>
      <c r="U10" t="s">
        <v>37</v>
      </c>
      <c r="V10">
        <v>106</v>
      </c>
      <c r="W10">
        <v>105.7</v>
      </c>
      <c r="X10">
        <v>105.2</v>
      </c>
      <c r="Y10">
        <v>105.5</v>
      </c>
      <c r="Z10">
        <v>103.5</v>
      </c>
      <c r="AA10">
        <v>103.8</v>
      </c>
      <c r="AB10">
        <v>104.2</v>
      </c>
      <c r="AC10">
        <v>104.9</v>
      </c>
      <c r="AD10">
        <v>105</v>
      </c>
    </row>
    <row r="11" spans="1:30" x14ac:dyDescent="0.3">
      <c r="A11" t="s">
        <v>35</v>
      </c>
      <c r="B11">
        <v>2013</v>
      </c>
      <c r="C11" t="s">
        <v>38</v>
      </c>
      <c r="D11">
        <v>111.4</v>
      </c>
      <c r="E11">
        <v>109.7</v>
      </c>
      <c r="F11">
        <v>111.2</v>
      </c>
      <c r="G11">
        <v>105.1</v>
      </c>
      <c r="H11">
        <v>104.9</v>
      </c>
      <c r="I11">
        <v>105.3</v>
      </c>
      <c r="J11">
        <v>102.2</v>
      </c>
      <c r="K11">
        <v>105</v>
      </c>
      <c r="L11">
        <v>104.2</v>
      </c>
      <c r="M11">
        <v>103</v>
      </c>
      <c r="N11">
        <v>106.2</v>
      </c>
      <c r="O11">
        <v>108.9</v>
      </c>
      <c r="P11">
        <v>106.9</v>
      </c>
      <c r="Q11">
        <v>106.6</v>
      </c>
      <c r="R11">
        <v>107.4</v>
      </c>
      <c r="S11">
        <v>106.5</v>
      </c>
      <c r="T11">
        <v>107.3</v>
      </c>
      <c r="U11" t="s">
        <v>37</v>
      </c>
      <c r="V11">
        <v>106.1</v>
      </c>
      <c r="W11">
        <v>105.6</v>
      </c>
      <c r="X11">
        <v>104.9</v>
      </c>
      <c r="Y11">
        <v>105.1</v>
      </c>
      <c r="Z11">
        <v>103.7</v>
      </c>
      <c r="AA11">
        <v>104</v>
      </c>
      <c r="AB11">
        <v>104.3</v>
      </c>
      <c r="AC11">
        <v>104.7</v>
      </c>
      <c r="AD11">
        <v>105.5</v>
      </c>
    </row>
    <row r="12" spans="1:30" x14ac:dyDescent="0.3">
      <c r="A12" t="s">
        <v>30</v>
      </c>
      <c r="B12">
        <v>2013</v>
      </c>
      <c r="C12" t="s">
        <v>39</v>
      </c>
      <c r="D12">
        <v>110.2</v>
      </c>
      <c r="E12">
        <v>109.5</v>
      </c>
      <c r="F12">
        <v>106.9</v>
      </c>
      <c r="G12">
        <v>106.3</v>
      </c>
      <c r="H12">
        <v>105.7</v>
      </c>
      <c r="I12">
        <v>108.3</v>
      </c>
      <c r="J12">
        <v>103.4</v>
      </c>
      <c r="K12">
        <v>105.7</v>
      </c>
      <c r="L12">
        <v>104.2</v>
      </c>
      <c r="M12">
        <v>103.2</v>
      </c>
      <c r="N12">
        <v>106.5</v>
      </c>
      <c r="O12">
        <v>108.8</v>
      </c>
      <c r="P12">
        <v>107.1</v>
      </c>
      <c r="Q12">
        <v>107.1</v>
      </c>
      <c r="R12">
        <v>108.1</v>
      </c>
      <c r="S12">
        <v>107.4</v>
      </c>
      <c r="T12">
        <v>108</v>
      </c>
      <c r="U12" t="s">
        <v>32</v>
      </c>
      <c r="V12">
        <v>106.5</v>
      </c>
      <c r="W12">
        <v>106.1</v>
      </c>
      <c r="X12">
        <v>105.1</v>
      </c>
      <c r="Y12">
        <v>104.4</v>
      </c>
      <c r="Z12">
        <v>104.5</v>
      </c>
      <c r="AA12">
        <v>104.8</v>
      </c>
      <c r="AB12">
        <v>102.7</v>
      </c>
      <c r="AC12">
        <v>104.6</v>
      </c>
      <c r="AD12">
        <v>106.4</v>
      </c>
    </row>
    <row r="13" spans="1:30" x14ac:dyDescent="0.3">
      <c r="A13" t="s">
        <v>33</v>
      </c>
      <c r="B13">
        <v>2013</v>
      </c>
      <c r="C13" t="s">
        <v>39</v>
      </c>
      <c r="D13">
        <v>114.6</v>
      </c>
      <c r="E13">
        <v>113.4</v>
      </c>
      <c r="F13">
        <v>106</v>
      </c>
      <c r="G13">
        <v>104.7</v>
      </c>
      <c r="H13">
        <v>102.1</v>
      </c>
      <c r="I13">
        <v>109.5</v>
      </c>
      <c r="J13">
        <v>109.7</v>
      </c>
      <c r="K13">
        <v>104.6</v>
      </c>
      <c r="L13">
        <v>102</v>
      </c>
      <c r="M13">
        <v>103.5</v>
      </c>
      <c r="N13">
        <v>108.2</v>
      </c>
      <c r="O13">
        <v>110.6</v>
      </c>
      <c r="P13">
        <v>108.8</v>
      </c>
      <c r="Q13">
        <v>108.5</v>
      </c>
      <c r="R13">
        <v>107.9</v>
      </c>
      <c r="S13">
        <v>106.4</v>
      </c>
      <c r="T13">
        <v>107.7</v>
      </c>
      <c r="U13" t="s">
        <v>40</v>
      </c>
      <c r="V13">
        <v>106.4</v>
      </c>
      <c r="W13">
        <v>106.5</v>
      </c>
      <c r="X13">
        <v>105.7</v>
      </c>
      <c r="Y13">
        <v>105</v>
      </c>
      <c r="Z13">
        <v>104</v>
      </c>
      <c r="AA13">
        <v>105.2</v>
      </c>
      <c r="AB13">
        <v>103.2</v>
      </c>
      <c r="AC13">
        <v>105.1</v>
      </c>
      <c r="AD13">
        <v>105.7</v>
      </c>
    </row>
    <row r="14" spans="1:30" x14ac:dyDescent="0.3">
      <c r="A14" t="s">
        <v>35</v>
      </c>
      <c r="B14">
        <v>2013</v>
      </c>
      <c r="C14" t="s">
        <v>39</v>
      </c>
      <c r="D14">
        <v>111.6</v>
      </c>
      <c r="E14">
        <v>110.9</v>
      </c>
      <c r="F14">
        <v>106.6</v>
      </c>
      <c r="G14">
        <v>105.7</v>
      </c>
      <c r="H14">
        <v>104.4</v>
      </c>
      <c r="I14">
        <v>108.9</v>
      </c>
      <c r="J14">
        <v>105.5</v>
      </c>
      <c r="K14">
        <v>105.3</v>
      </c>
      <c r="L14">
        <v>103.5</v>
      </c>
      <c r="M14">
        <v>103.3</v>
      </c>
      <c r="N14">
        <v>107.2</v>
      </c>
      <c r="O14">
        <v>109.6</v>
      </c>
      <c r="P14">
        <v>107.7</v>
      </c>
      <c r="Q14">
        <v>107.5</v>
      </c>
      <c r="R14">
        <v>108</v>
      </c>
      <c r="S14">
        <v>107</v>
      </c>
      <c r="T14">
        <v>107.9</v>
      </c>
      <c r="U14" t="s">
        <v>40</v>
      </c>
      <c r="V14">
        <v>106.5</v>
      </c>
      <c r="W14">
        <v>106.3</v>
      </c>
      <c r="X14">
        <v>105.3</v>
      </c>
      <c r="Y14">
        <v>104.7</v>
      </c>
      <c r="Z14">
        <v>104.2</v>
      </c>
      <c r="AA14">
        <v>105</v>
      </c>
      <c r="AB14">
        <v>102.9</v>
      </c>
      <c r="AC14">
        <v>104.8</v>
      </c>
      <c r="AD14">
        <v>106.1</v>
      </c>
    </row>
    <row r="15" spans="1:30" x14ac:dyDescent="0.3">
      <c r="A15" t="s">
        <v>30</v>
      </c>
      <c r="B15">
        <v>2013</v>
      </c>
      <c r="C15" t="s">
        <v>41</v>
      </c>
      <c r="D15">
        <v>110.9</v>
      </c>
      <c r="E15">
        <v>109.8</v>
      </c>
      <c r="F15">
        <v>105.9</v>
      </c>
      <c r="G15">
        <v>107.5</v>
      </c>
      <c r="H15">
        <v>105.3</v>
      </c>
      <c r="I15">
        <v>108.1</v>
      </c>
      <c r="J15">
        <v>107.3</v>
      </c>
      <c r="K15">
        <v>106.1</v>
      </c>
      <c r="L15">
        <v>103.7</v>
      </c>
      <c r="M15">
        <v>104</v>
      </c>
      <c r="N15">
        <v>107.4</v>
      </c>
      <c r="O15">
        <v>109.9</v>
      </c>
      <c r="P15">
        <v>108.1</v>
      </c>
      <c r="Q15">
        <v>108.1</v>
      </c>
      <c r="R15">
        <v>108.8</v>
      </c>
      <c r="S15">
        <v>107.9</v>
      </c>
      <c r="T15">
        <v>108.6</v>
      </c>
      <c r="U15" t="s">
        <v>32</v>
      </c>
      <c r="V15">
        <v>107.5</v>
      </c>
      <c r="W15">
        <v>106.8</v>
      </c>
      <c r="X15">
        <v>105.7</v>
      </c>
      <c r="Y15">
        <v>104.1</v>
      </c>
      <c r="Z15">
        <v>105</v>
      </c>
      <c r="AA15">
        <v>105.5</v>
      </c>
      <c r="AB15">
        <v>102.1</v>
      </c>
      <c r="AC15">
        <v>104.8</v>
      </c>
      <c r="AD15">
        <v>107.2</v>
      </c>
    </row>
    <row r="16" spans="1:30" x14ac:dyDescent="0.3">
      <c r="A16" t="s">
        <v>33</v>
      </c>
      <c r="B16">
        <v>2013</v>
      </c>
      <c r="C16" t="s">
        <v>41</v>
      </c>
      <c r="D16">
        <v>115.4</v>
      </c>
      <c r="E16">
        <v>114.2</v>
      </c>
      <c r="F16">
        <v>102.7</v>
      </c>
      <c r="G16">
        <v>105.5</v>
      </c>
      <c r="H16">
        <v>101.5</v>
      </c>
      <c r="I16">
        <v>110.6</v>
      </c>
      <c r="J16">
        <v>123.7</v>
      </c>
      <c r="K16">
        <v>105.2</v>
      </c>
      <c r="L16">
        <v>101.9</v>
      </c>
      <c r="M16">
        <v>105</v>
      </c>
      <c r="N16">
        <v>109.1</v>
      </c>
      <c r="O16">
        <v>111.3</v>
      </c>
      <c r="P16">
        <v>111.1</v>
      </c>
      <c r="Q16">
        <v>109.8</v>
      </c>
      <c r="R16">
        <v>108.5</v>
      </c>
      <c r="S16">
        <v>106.7</v>
      </c>
      <c r="T16">
        <v>108.3</v>
      </c>
      <c r="U16" t="s">
        <v>40</v>
      </c>
      <c r="V16">
        <v>107.2</v>
      </c>
      <c r="W16">
        <v>107.1</v>
      </c>
      <c r="X16">
        <v>106.2</v>
      </c>
      <c r="Y16">
        <v>103.9</v>
      </c>
      <c r="Z16">
        <v>104.6</v>
      </c>
      <c r="AA16">
        <v>105.7</v>
      </c>
      <c r="AB16">
        <v>102.6</v>
      </c>
      <c r="AC16">
        <v>104.9</v>
      </c>
      <c r="AD16">
        <v>106.6</v>
      </c>
    </row>
    <row r="17" spans="1:30" x14ac:dyDescent="0.3">
      <c r="A17" t="s">
        <v>35</v>
      </c>
      <c r="B17">
        <v>2013</v>
      </c>
      <c r="C17" t="s">
        <v>41</v>
      </c>
      <c r="D17">
        <v>112.3</v>
      </c>
      <c r="E17">
        <v>111.3</v>
      </c>
      <c r="F17">
        <v>104.7</v>
      </c>
      <c r="G17">
        <v>106.8</v>
      </c>
      <c r="H17">
        <v>103.9</v>
      </c>
      <c r="I17">
        <v>109.3</v>
      </c>
      <c r="J17">
        <v>112.9</v>
      </c>
      <c r="K17">
        <v>105.8</v>
      </c>
      <c r="L17">
        <v>103.1</v>
      </c>
      <c r="M17">
        <v>104.3</v>
      </c>
      <c r="N17">
        <v>108.1</v>
      </c>
      <c r="O17">
        <v>110.5</v>
      </c>
      <c r="P17">
        <v>109.2</v>
      </c>
      <c r="Q17">
        <v>108.6</v>
      </c>
      <c r="R17">
        <v>108.7</v>
      </c>
      <c r="S17">
        <v>107.4</v>
      </c>
      <c r="T17">
        <v>108.5</v>
      </c>
      <c r="U17" t="s">
        <v>40</v>
      </c>
      <c r="V17">
        <v>107.4</v>
      </c>
      <c r="W17">
        <v>106.9</v>
      </c>
      <c r="X17">
        <v>105.9</v>
      </c>
      <c r="Y17">
        <v>104</v>
      </c>
      <c r="Z17">
        <v>104.8</v>
      </c>
      <c r="AA17">
        <v>105.6</v>
      </c>
      <c r="AB17">
        <v>102.3</v>
      </c>
      <c r="AC17">
        <v>104.8</v>
      </c>
      <c r="AD17">
        <v>106.9</v>
      </c>
    </row>
    <row r="18" spans="1:30" x14ac:dyDescent="0.3">
      <c r="A18" t="s">
        <v>30</v>
      </c>
      <c r="B18">
        <v>2013</v>
      </c>
      <c r="C18" t="s">
        <v>42</v>
      </c>
      <c r="D18">
        <v>112.3</v>
      </c>
      <c r="E18">
        <v>112.1</v>
      </c>
      <c r="F18">
        <v>108.1</v>
      </c>
      <c r="G18">
        <v>108.3</v>
      </c>
      <c r="H18">
        <v>105.9</v>
      </c>
      <c r="I18">
        <v>109.2</v>
      </c>
      <c r="J18">
        <v>118</v>
      </c>
      <c r="K18">
        <v>106.8</v>
      </c>
      <c r="L18">
        <v>104.1</v>
      </c>
      <c r="M18">
        <v>105.4</v>
      </c>
      <c r="N18">
        <v>108.2</v>
      </c>
      <c r="O18">
        <v>111</v>
      </c>
      <c r="P18">
        <v>110.6</v>
      </c>
      <c r="Q18">
        <v>109</v>
      </c>
      <c r="R18">
        <v>109.7</v>
      </c>
      <c r="S18">
        <v>108.8</v>
      </c>
      <c r="T18">
        <v>109.5</v>
      </c>
      <c r="U18" t="s">
        <v>32</v>
      </c>
      <c r="V18">
        <v>108.5</v>
      </c>
      <c r="W18">
        <v>107.5</v>
      </c>
      <c r="X18">
        <v>106.3</v>
      </c>
      <c r="Y18">
        <v>105</v>
      </c>
      <c r="Z18">
        <v>105.6</v>
      </c>
      <c r="AA18">
        <v>106.5</v>
      </c>
      <c r="AB18">
        <v>102.5</v>
      </c>
      <c r="AC18">
        <v>105.5</v>
      </c>
      <c r="AD18">
        <v>108.9</v>
      </c>
    </row>
    <row r="19" spans="1:30" x14ac:dyDescent="0.3">
      <c r="A19" t="s">
        <v>33</v>
      </c>
      <c r="B19">
        <v>2013</v>
      </c>
      <c r="C19" t="s">
        <v>42</v>
      </c>
      <c r="D19">
        <v>117</v>
      </c>
      <c r="E19">
        <v>120.1</v>
      </c>
      <c r="F19">
        <v>112.5</v>
      </c>
      <c r="G19">
        <v>107.3</v>
      </c>
      <c r="H19">
        <v>101.3</v>
      </c>
      <c r="I19">
        <v>112.4</v>
      </c>
      <c r="J19">
        <v>143.6</v>
      </c>
      <c r="K19">
        <v>105.4</v>
      </c>
      <c r="L19">
        <v>101.4</v>
      </c>
      <c r="M19">
        <v>106.4</v>
      </c>
      <c r="N19">
        <v>110</v>
      </c>
      <c r="O19">
        <v>112.2</v>
      </c>
      <c r="P19">
        <v>115</v>
      </c>
      <c r="Q19">
        <v>110.9</v>
      </c>
      <c r="R19">
        <v>109.2</v>
      </c>
      <c r="S19">
        <v>107.2</v>
      </c>
      <c r="T19">
        <v>108.9</v>
      </c>
      <c r="U19" t="s">
        <v>43</v>
      </c>
      <c r="V19">
        <v>108</v>
      </c>
      <c r="W19">
        <v>107.7</v>
      </c>
      <c r="X19">
        <v>106.5</v>
      </c>
      <c r="Y19">
        <v>105.2</v>
      </c>
      <c r="Z19">
        <v>105.2</v>
      </c>
      <c r="AA19">
        <v>108.1</v>
      </c>
      <c r="AB19">
        <v>103.3</v>
      </c>
      <c r="AC19">
        <v>106.1</v>
      </c>
      <c r="AD19">
        <v>109.7</v>
      </c>
    </row>
    <row r="20" spans="1:30" x14ac:dyDescent="0.3">
      <c r="A20" t="s">
        <v>35</v>
      </c>
      <c r="B20">
        <v>2013</v>
      </c>
      <c r="C20" t="s">
        <v>42</v>
      </c>
      <c r="D20">
        <v>113.8</v>
      </c>
      <c r="E20">
        <v>114.9</v>
      </c>
      <c r="F20">
        <v>109.8</v>
      </c>
      <c r="G20">
        <v>107.9</v>
      </c>
      <c r="H20">
        <v>104.2</v>
      </c>
      <c r="I20">
        <v>110.7</v>
      </c>
      <c r="J20">
        <v>126.7</v>
      </c>
      <c r="K20">
        <v>106.3</v>
      </c>
      <c r="L20">
        <v>103.2</v>
      </c>
      <c r="M20">
        <v>105.7</v>
      </c>
      <c r="N20">
        <v>109</v>
      </c>
      <c r="O20">
        <v>111.6</v>
      </c>
      <c r="P20">
        <v>112.2</v>
      </c>
      <c r="Q20">
        <v>109.5</v>
      </c>
      <c r="R20">
        <v>109.5</v>
      </c>
      <c r="S20">
        <v>108.1</v>
      </c>
      <c r="T20">
        <v>109.3</v>
      </c>
      <c r="U20" t="s">
        <v>43</v>
      </c>
      <c r="V20">
        <v>108.3</v>
      </c>
      <c r="W20">
        <v>107.6</v>
      </c>
      <c r="X20">
        <v>106.4</v>
      </c>
      <c r="Y20">
        <v>105.1</v>
      </c>
      <c r="Z20">
        <v>105.4</v>
      </c>
      <c r="AA20">
        <v>107.4</v>
      </c>
      <c r="AB20">
        <v>102.8</v>
      </c>
      <c r="AC20">
        <v>105.8</v>
      </c>
      <c r="AD20">
        <v>109.3</v>
      </c>
    </row>
    <row r="21" spans="1:30" x14ac:dyDescent="0.3">
      <c r="A21" t="s">
        <v>30</v>
      </c>
      <c r="B21">
        <v>2013</v>
      </c>
      <c r="C21" t="s">
        <v>44</v>
      </c>
      <c r="D21">
        <v>113.4</v>
      </c>
      <c r="E21">
        <v>114.9</v>
      </c>
      <c r="F21">
        <v>110.5</v>
      </c>
      <c r="G21">
        <v>109.3</v>
      </c>
      <c r="H21">
        <v>106.2</v>
      </c>
      <c r="I21">
        <v>110.3</v>
      </c>
      <c r="J21">
        <v>129.19999999999999</v>
      </c>
      <c r="K21">
        <v>107.1</v>
      </c>
      <c r="L21">
        <v>104.3</v>
      </c>
      <c r="M21">
        <v>106.4</v>
      </c>
      <c r="N21">
        <v>109.1</v>
      </c>
      <c r="O21">
        <v>112.1</v>
      </c>
      <c r="P21">
        <v>113.1</v>
      </c>
      <c r="Q21">
        <v>109.8</v>
      </c>
      <c r="R21">
        <v>110.5</v>
      </c>
      <c r="S21">
        <v>109.5</v>
      </c>
      <c r="T21">
        <v>110.3</v>
      </c>
      <c r="U21" t="s">
        <v>32</v>
      </c>
      <c r="V21">
        <v>109.5</v>
      </c>
      <c r="W21">
        <v>108.3</v>
      </c>
      <c r="X21">
        <v>106.9</v>
      </c>
      <c r="Y21">
        <v>106.8</v>
      </c>
      <c r="Z21">
        <v>106.4</v>
      </c>
      <c r="AA21">
        <v>107.8</v>
      </c>
      <c r="AB21">
        <v>102.5</v>
      </c>
      <c r="AC21">
        <v>106.5</v>
      </c>
      <c r="AD21">
        <v>110.7</v>
      </c>
    </row>
    <row r="22" spans="1:30" x14ac:dyDescent="0.3">
      <c r="A22" t="s">
        <v>33</v>
      </c>
      <c r="B22">
        <v>2013</v>
      </c>
      <c r="C22" t="s">
        <v>44</v>
      </c>
      <c r="D22">
        <v>117.8</v>
      </c>
      <c r="E22">
        <v>119.2</v>
      </c>
      <c r="F22">
        <v>114</v>
      </c>
      <c r="G22">
        <v>108.3</v>
      </c>
      <c r="H22">
        <v>101.1</v>
      </c>
      <c r="I22">
        <v>113.2</v>
      </c>
      <c r="J22">
        <v>160.9</v>
      </c>
      <c r="K22">
        <v>105.1</v>
      </c>
      <c r="L22">
        <v>101.3</v>
      </c>
      <c r="M22">
        <v>107.5</v>
      </c>
      <c r="N22">
        <v>110.4</v>
      </c>
      <c r="O22">
        <v>113.1</v>
      </c>
      <c r="P22">
        <v>117.5</v>
      </c>
      <c r="Q22">
        <v>111.7</v>
      </c>
      <c r="R22">
        <v>109.8</v>
      </c>
      <c r="S22">
        <v>107.8</v>
      </c>
      <c r="T22">
        <v>109.5</v>
      </c>
      <c r="U22" t="s">
        <v>45</v>
      </c>
      <c r="V22">
        <v>108.6</v>
      </c>
      <c r="W22">
        <v>108.1</v>
      </c>
      <c r="X22">
        <v>107.1</v>
      </c>
      <c r="Y22">
        <v>107.3</v>
      </c>
      <c r="Z22">
        <v>105.9</v>
      </c>
      <c r="AA22">
        <v>110.1</v>
      </c>
      <c r="AB22">
        <v>103.2</v>
      </c>
      <c r="AC22">
        <v>107.3</v>
      </c>
      <c r="AD22">
        <v>111.4</v>
      </c>
    </row>
    <row r="23" spans="1:30" x14ac:dyDescent="0.3">
      <c r="A23" t="s">
        <v>35</v>
      </c>
      <c r="B23">
        <v>2013</v>
      </c>
      <c r="C23" t="s">
        <v>44</v>
      </c>
      <c r="D23">
        <v>114.8</v>
      </c>
      <c r="E23">
        <v>116.4</v>
      </c>
      <c r="F23">
        <v>111.9</v>
      </c>
      <c r="G23">
        <v>108.9</v>
      </c>
      <c r="H23">
        <v>104.3</v>
      </c>
      <c r="I23">
        <v>111.7</v>
      </c>
      <c r="J23">
        <v>140</v>
      </c>
      <c r="K23">
        <v>106.4</v>
      </c>
      <c r="L23">
        <v>103.3</v>
      </c>
      <c r="M23">
        <v>106.8</v>
      </c>
      <c r="N23">
        <v>109.6</v>
      </c>
      <c r="O23">
        <v>112.6</v>
      </c>
      <c r="P23">
        <v>114.7</v>
      </c>
      <c r="Q23">
        <v>110.3</v>
      </c>
      <c r="R23">
        <v>110.2</v>
      </c>
      <c r="S23">
        <v>108.8</v>
      </c>
      <c r="T23">
        <v>110</v>
      </c>
      <c r="U23" t="s">
        <v>45</v>
      </c>
      <c r="V23">
        <v>109.2</v>
      </c>
      <c r="W23">
        <v>108.2</v>
      </c>
      <c r="X23">
        <v>107</v>
      </c>
      <c r="Y23">
        <v>107.1</v>
      </c>
      <c r="Z23">
        <v>106.1</v>
      </c>
      <c r="AA23">
        <v>109.1</v>
      </c>
      <c r="AB23">
        <v>102.8</v>
      </c>
      <c r="AC23">
        <v>106.9</v>
      </c>
      <c r="AD23">
        <v>111</v>
      </c>
    </row>
    <row r="24" spans="1:30" x14ac:dyDescent="0.3">
      <c r="A24" t="s">
        <v>30</v>
      </c>
      <c r="B24">
        <v>2013</v>
      </c>
      <c r="C24" t="s">
        <v>46</v>
      </c>
      <c r="D24">
        <v>114.3</v>
      </c>
      <c r="E24">
        <v>115.4</v>
      </c>
      <c r="F24">
        <v>111.1</v>
      </c>
      <c r="G24">
        <v>110</v>
      </c>
      <c r="H24">
        <v>106.4</v>
      </c>
      <c r="I24">
        <v>110.8</v>
      </c>
      <c r="J24">
        <v>138.9</v>
      </c>
      <c r="K24">
        <v>107.4</v>
      </c>
      <c r="L24">
        <v>104.1</v>
      </c>
      <c r="M24">
        <v>106.9</v>
      </c>
      <c r="N24">
        <v>109.7</v>
      </c>
      <c r="O24">
        <v>112.6</v>
      </c>
      <c r="P24">
        <v>114.9</v>
      </c>
      <c r="Q24">
        <v>110.7</v>
      </c>
      <c r="R24">
        <v>111.3</v>
      </c>
      <c r="S24">
        <v>110.2</v>
      </c>
      <c r="T24">
        <v>111.1</v>
      </c>
      <c r="U24" t="s">
        <v>32</v>
      </c>
      <c r="V24">
        <v>109.9</v>
      </c>
      <c r="W24">
        <v>108.7</v>
      </c>
      <c r="X24">
        <v>107.5</v>
      </c>
      <c r="Y24">
        <v>107.8</v>
      </c>
      <c r="Z24">
        <v>106.8</v>
      </c>
      <c r="AA24">
        <v>108.7</v>
      </c>
      <c r="AB24">
        <v>105</v>
      </c>
      <c r="AC24">
        <v>107.5</v>
      </c>
      <c r="AD24">
        <v>112.1</v>
      </c>
    </row>
    <row r="25" spans="1:30" x14ac:dyDescent="0.3">
      <c r="A25" t="s">
        <v>33</v>
      </c>
      <c r="B25">
        <v>2013</v>
      </c>
      <c r="C25" t="s">
        <v>46</v>
      </c>
      <c r="D25">
        <v>118.3</v>
      </c>
      <c r="E25">
        <v>120.4</v>
      </c>
      <c r="F25">
        <v>112.7</v>
      </c>
      <c r="G25">
        <v>108.9</v>
      </c>
      <c r="H25">
        <v>101.1</v>
      </c>
      <c r="I25">
        <v>108.7</v>
      </c>
      <c r="J25">
        <v>177</v>
      </c>
      <c r="K25">
        <v>104.7</v>
      </c>
      <c r="L25">
        <v>101</v>
      </c>
      <c r="M25">
        <v>108.5</v>
      </c>
      <c r="N25">
        <v>110.9</v>
      </c>
      <c r="O25">
        <v>114.3</v>
      </c>
      <c r="P25">
        <v>119.6</v>
      </c>
      <c r="Q25">
        <v>112.4</v>
      </c>
      <c r="R25">
        <v>110.6</v>
      </c>
      <c r="S25">
        <v>108.3</v>
      </c>
      <c r="T25">
        <v>110.2</v>
      </c>
      <c r="U25" t="s">
        <v>47</v>
      </c>
      <c r="V25">
        <v>109.3</v>
      </c>
      <c r="W25">
        <v>108.7</v>
      </c>
      <c r="X25">
        <v>107.6</v>
      </c>
      <c r="Y25">
        <v>108.1</v>
      </c>
      <c r="Z25">
        <v>106.5</v>
      </c>
      <c r="AA25">
        <v>110.8</v>
      </c>
      <c r="AB25">
        <v>106</v>
      </c>
      <c r="AC25">
        <v>108.3</v>
      </c>
      <c r="AD25">
        <v>112.7</v>
      </c>
    </row>
    <row r="26" spans="1:30" x14ac:dyDescent="0.3">
      <c r="A26" t="s">
        <v>35</v>
      </c>
      <c r="B26">
        <v>2013</v>
      </c>
      <c r="C26" t="s">
        <v>46</v>
      </c>
      <c r="D26">
        <v>115.6</v>
      </c>
      <c r="E26">
        <v>117.2</v>
      </c>
      <c r="F26">
        <v>111.7</v>
      </c>
      <c r="G26">
        <v>109.6</v>
      </c>
      <c r="H26">
        <v>104.5</v>
      </c>
      <c r="I26">
        <v>109.8</v>
      </c>
      <c r="J26">
        <v>151.80000000000001</v>
      </c>
      <c r="K26">
        <v>106.5</v>
      </c>
      <c r="L26">
        <v>103.1</v>
      </c>
      <c r="M26">
        <v>107.4</v>
      </c>
      <c r="N26">
        <v>110.2</v>
      </c>
      <c r="O26">
        <v>113.4</v>
      </c>
      <c r="P26">
        <v>116.6</v>
      </c>
      <c r="Q26">
        <v>111.2</v>
      </c>
      <c r="R26">
        <v>111</v>
      </c>
      <c r="S26">
        <v>109.4</v>
      </c>
      <c r="T26">
        <v>110.7</v>
      </c>
      <c r="U26" t="s">
        <v>47</v>
      </c>
      <c r="V26">
        <v>109.7</v>
      </c>
      <c r="W26">
        <v>108.7</v>
      </c>
      <c r="X26">
        <v>107.5</v>
      </c>
      <c r="Y26">
        <v>108</v>
      </c>
      <c r="Z26">
        <v>106.6</v>
      </c>
      <c r="AA26">
        <v>109.9</v>
      </c>
      <c r="AB26">
        <v>105.4</v>
      </c>
      <c r="AC26">
        <v>107.9</v>
      </c>
      <c r="AD26">
        <v>112.4</v>
      </c>
    </row>
    <row r="27" spans="1:30" x14ac:dyDescent="0.3">
      <c r="A27" t="s">
        <v>30</v>
      </c>
      <c r="B27">
        <v>2013</v>
      </c>
      <c r="C27" t="s">
        <v>48</v>
      </c>
      <c r="D27">
        <v>115.4</v>
      </c>
      <c r="E27">
        <v>115.7</v>
      </c>
      <c r="F27">
        <v>111.7</v>
      </c>
      <c r="G27">
        <v>111</v>
      </c>
      <c r="H27">
        <v>107.4</v>
      </c>
      <c r="I27">
        <v>110.9</v>
      </c>
      <c r="J27">
        <v>154</v>
      </c>
      <c r="K27">
        <v>108.1</v>
      </c>
      <c r="L27">
        <v>104.2</v>
      </c>
      <c r="M27">
        <v>107.9</v>
      </c>
      <c r="N27">
        <v>110.4</v>
      </c>
      <c r="O27">
        <v>114</v>
      </c>
      <c r="P27">
        <v>117.8</v>
      </c>
      <c r="Q27">
        <v>111.7</v>
      </c>
      <c r="R27">
        <v>112.7</v>
      </c>
      <c r="S27">
        <v>111.4</v>
      </c>
      <c r="T27">
        <v>112.5</v>
      </c>
      <c r="U27" t="s">
        <v>32</v>
      </c>
      <c r="V27">
        <v>111.1</v>
      </c>
      <c r="W27">
        <v>109.6</v>
      </c>
      <c r="X27">
        <v>108.3</v>
      </c>
      <c r="Y27">
        <v>109.3</v>
      </c>
      <c r="Z27">
        <v>107.7</v>
      </c>
      <c r="AA27">
        <v>109.8</v>
      </c>
      <c r="AB27">
        <v>106.7</v>
      </c>
      <c r="AC27">
        <v>108.7</v>
      </c>
      <c r="AD27">
        <v>114.2</v>
      </c>
    </row>
    <row r="28" spans="1:30" x14ac:dyDescent="0.3">
      <c r="A28" t="s">
        <v>33</v>
      </c>
      <c r="B28">
        <v>2013</v>
      </c>
      <c r="C28" t="s">
        <v>48</v>
      </c>
      <c r="D28">
        <v>118.6</v>
      </c>
      <c r="E28">
        <v>119.1</v>
      </c>
      <c r="F28">
        <v>113.2</v>
      </c>
      <c r="G28">
        <v>109.6</v>
      </c>
      <c r="H28">
        <v>101.7</v>
      </c>
      <c r="I28">
        <v>103.2</v>
      </c>
      <c r="J28">
        <v>174.3</v>
      </c>
      <c r="K28">
        <v>105.1</v>
      </c>
      <c r="L28">
        <v>100.8</v>
      </c>
      <c r="M28">
        <v>109.1</v>
      </c>
      <c r="N28">
        <v>111.1</v>
      </c>
      <c r="O28">
        <v>115.4</v>
      </c>
      <c r="P28">
        <v>119.2</v>
      </c>
      <c r="Q28">
        <v>112.9</v>
      </c>
      <c r="R28">
        <v>111.4</v>
      </c>
      <c r="S28">
        <v>109</v>
      </c>
      <c r="T28">
        <v>111.1</v>
      </c>
      <c r="U28" t="s">
        <v>49</v>
      </c>
      <c r="V28">
        <v>109.5</v>
      </c>
      <c r="W28">
        <v>109.6</v>
      </c>
      <c r="X28">
        <v>107.9</v>
      </c>
      <c r="Y28">
        <v>110.4</v>
      </c>
      <c r="Z28">
        <v>107.4</v>
      </c>
      <c r="AA28">
        <v>111.2</v>
      </c>
      <c r="AB28">
        <v>106.9</v>
      </c>
      <c r="AC28">
        <v>109.4</v>
      </c>
      <c r="AD28">
        <v>113.2</v>
      </c>
    </row>
    <row r="29" spans="1:30" x14ac:dyDescent="0.3">
      <c r="A29" t="s">
        <v>35</v>
      </c>
      <c r="B29">
        <v>2013</v>
      </c>
      <c r="C29" t="s">
        <v>48</v>
      </c>
      <c r="D29">
        <v>116.4</v>
      </c>
      <c r="E29">
        <v>116.9</v>
      </c>
      <c r="F29">
        <v>112.3</v>
      </c>
      <c r="G29">
        <v>110.5</v>
      </c>
      <c r="H29">
        <v>105.3</v>
      </c>
      <c r="I29">
        <v>107.3</v>
      </c>
      <c r="J29">
        <v>160.9</v>
      </c>
      <c r="K29">
        <v>107.1</v>
      </c>
      <c r="L29">
        <v>103.1</v>
      </c>
      <c r="M29">
        <v>108.3</v>
      </c>
      <c r="N29">
        <v>110.7</v>
      </c>
      <c r="O29">
        <v>114.6</v>
      </c>
      <c r="P29">
        <v>118.3</v>
      </c>
      <c r="Q29">
        <v>112</v>
      </c>
      <c r="R29">
        <v>112.2</v>
      </c>
      <c r="S29">
        <v>110.4</v>
      </c>
      <c r="T29">
        <v>111.9</v>
      </c>
      <c r="U29" t="s">
        <v>49</v>
      </c>
      <c r="V29">
        <v>110.5</v>
      </c>
      <c r="W29">
        <v>109.6</v>
      </c>
      <c r="X29">
        <v>108.1</v>
      </c>
      <c r="Y29">
        <v>109.9</v>
      </c>
      <c r="Z29">
        <v>107.5</v>
      </c>
      <c r="AA29">
        <v>110.6</v>
      </c>
      <c r="AB29">
        <v>106.8</v>
      </c>
      <c r="AC29">
        <v>109</v>
      </c>
      <c r="AD29">
        <v>113.7</v>
      </c>
    </row>
    <row r="30" spans="1:30" x14ac:dyDescent="0.3">
      <c r="A30" t="s">
        <v>30</v>
      </c>
      <c r="B30">
        <v>2013</v>
      </c>
      <c r="C30" t="s">
        <v>50</v>
      </c>
      <c r="D30">
        <v>116.3</v>
      </c>
      <c r="E30">
        <v>115.4</v>
      </c>
      <c r="F30">
        <v>112.6</v>
      </c>
      <c r="G30">
        <v>111.7</v>
      </c>
      <c r="H30">
        <v>107.7</v>
      </c>
      <c r="I30">
        <v>113.2</v>
      </c>
      <c r="J30">
        <v>164.9</v>
      </c>
      <c r="K30">
        <v>108.3</v>
      </c>
      <c r="L30">
        <v>103.9</v>
      </c>
      <c r="M30">
        <v>108.2</v>
      </c>
      <c r="N30">
        <v>111.1</v>
      </c>
      <c r="O30">
        <v>114.9</v>
      </c>
      <c r="P30">
        <v>119.8</v>
      </c>
      <c r="Q30">
        <v>112.2</v>
      </c>
      <c r="R30">
        <v>113.6</v>
      </c>
      <c r="S30">
        <v>112.3</v>
      </c>
      <c r="T30">
        <v>113.4</v>
      </c>
      <c r="U30" t="s">
        <v>32</v>
      </c>
      <c r="V30">
        <v>111.6</v>
      </c>
      <c r="W30">
        <v>110.4</v>
      </c>
      <c r="X30">
        <v>108.9</v>
      </c>
      <c r="Y30">
        <v>109.3</v>
      </c>
      <c r="Z30">
        <v>108.3</v>
      </c>
      <c r="AA30">
        <v>110.2</v>
      </c>
      <c r="AB30">
        <v>107.5</v>
      </c>
      <c r="AC30">
        <v>109.1</v>
      </c>
      <c r="AD30">
        <v>115.5</v>
      </c>
    </row>
    <row r="31" spans="1:30" x14ac:dyDescent="0.3">
      <c r="A31" t="s">
        <v>33</v>
      </c>
      <c r="B31">
        <v>2013</v>
      </c>
      <c r="C31" t="s">
        <v>50</v>
      </c>
      <c r="D31">
        <v>118.9</v>
      </c>
      <c r="E31">
        <v>118.1</v>
      </c>
      <c r="F31">
        <v>114.5</v>
      </c>
      <c r="G31">
        <v>110.4</v>
      </c>
      <c r="H31">
        <v>102.3</v>
      </c>
      <c r="I31">
        <v>106.2</v>
      </c>
      <c r="J31">
        <v>183.5</v>
      </c>
      <c r="K31">
        <v>105.3</v>
      </c>
      <c r="L31">
        <v>100.2</v>
      </c>
      <c r="M31">
        <v>109.6</v>
      </c>
      <c r="N31">
        <v>111.4</v>
      </c>
      <c r="O31">
        <v>116</v>
      </c>
      <c r="P31">
        <v>120.8</v>
      </c>
      <c r="Q31">
        <v>113.5</v>
      </c>
      <c r="R31">
        <v>112.5</v>
      </c>
      <c r="S31">
        <v>109.7</v>
      </c>
      <c r="T31">
        <v>112</v>
      </c>
      <c r="U31" t="s">
        <v>51</v>
      </c>
      <c r="V31">
        <v>109.7</v>
      </c>
      <c r="W31">
        <v>110.2</v>
      </c>
      <c r="X31">
        <v>108.2</v>
      </c>
      <c r="Y31">
        <v>109.7</v>
      </c>
      <c r="Z31">
        <v>108</v>
      </c>
      <c r="AA31">
        <v>111.3</v>
      </c>
      <c r="AB31">
        <v>107.3</v>
      </c>
      <c r="AC31">
        <v>109.4</v>
      </c>
      <c r="AD31">
        <v>114</v>
      </c>
    </row>
    <row r="32" spans="1:30" x14ac:dyDescent="0.3">
      <c r="A32" t="s">
        <v>35</v>
      </c>
      <c r="B32">
        <v>2013</v>
      </c>
      <c r="C32" t="s">
        <v>50</v>
      </c>
      <c r="D32">
        <v>117.1</v>
      </c>
      <c r="E32">
        <v>116.3</v>
      </c>
      <c r="F32">
        <v>113.3</v>
      </c>
      <c r="G32">
        <v>111.2</v>
      </c>
      <c r="H32">
        <v>105.7</v>
      </c>
      <c r="I32">
        <v>109.9</v>
      </c>
      <c r="J32">
        <v>171.2</v>
      </c>
      <c r="K32">
        <v>107.3</v>
      </c>
      <c r="L32">
        <v>102.7</v>
      </c>
      <c r="M32">
        <v>108.7</v>
      </c>
      <c r="N32">
        <v>111.2</v>
      </c>
      <c r="O32">
        <v>115.4</v>
      </c>
      <c r="P32">
        <v>120.2</v>
      </c>
      <c r="Q32">
        <v>112.5</v>
      </c>
      <c r="R32">
        <v>113.2</v>
      </c>
      <c r="S32">
        <v>111.2</v>
      </c>
      <c r="T32">
        <v>112.8</v>
      </c>
      <c r="U32" t="s">
        <v>51</v>
      </c>
      <c r="V32">
        <v>110.9</v>
      </c>
      <c r="W32">
        <v>110.3</v>
      </c>
      <c r="X32">
        <v>108.6</v>
      </c>
      <c r="Y32">
        <v>109.5</v>
      </c>
      <c r="Z32">
        <v>108.1</v>
      </c>
      <c r="AA32">
        <v>110.8</v>
      </c>
      <c r="AB32">
        <v>107.4</v>
      </c>
      <c r="AC32">
        <v>109.2</v>
      </c>
      <c r="AD32">
        <v>114.8</v>
      </c>
    </row>
    <row r="33" spans="1:30" x14ac:dyDescent="0.3">
      <c r="A33" t="s">
        <v>30</v>
      </c>
      <c r="B33">
        <v>2013</v>
      </c>
      <c r="C33" t="s">
        <v>52</v>
      </c>
      <c r="D33">
        <v>117.3</v>
      </c>
      <c r="E33">
        <v>114.9</v>
      </c>
      <c r="F33">
        <v>116.2</v>
      </c>
      <c r="G33">
        <v>112.8</v>
      </c>
      <c r="H33">
        <v>108.9</v>
      </c>
      <c r="I33">
        <v>116.6</v>
      </c>
      <c r="J33">
        <v>178.1</v>
      </c>
      <c r="K33">
        <v>109.1</v>
      </c>
      <c r="L33">
        <v>103.6</v>
      </c>
      <c r="M33">
        <v>109</v>
      </c>
      <c r="N33">
        <v>111.8</v>
      </c>
      <c r="O33">
        <v>116</v>
      </c>
      <c r="P33">
        <v>122.5</v>
      </c>
      <c r="Q33">
        <v>112.8</v>
      </c>
      <c r="R33">
        <v>114.6</v>
      </c>
      <c r="S33">
        <v>113.1</v>
      </c>
      <c r="T33">
        <v>114.4</v>
      </c>
      <c r="U33" t="s">
        <v>32</v>
      </c>
      <c r="V33">
        <v>112.6</v>
      </c>
      <c r="W33">
        <v>111.3</v>
      </c>
      <c r="X33">
        <v>109.7</v>
      </c>
      <c r="Y33">
        <v>109.6</v>
      </c>
      <c r="Z33">
        <v>108.7</v>
      </c>
      <c r="AA33">
        <v>111</v>
      </c>
      <c r="AB33">
        <v>108.2</v>
      </c>
      <c r="AC33">
        <v>109.8</v>
      </c>
      <c r="AD33">
        <v>117.4</v>
      </c>
    </row>
    <row r="34" spans="1:30" x14ac:dyDescent="0.3">
      <c r="A34" t="s">
        <v>33</v>
      </c>
      <c r="B34">
        <v>2013</v>
      </c>
      <c r="C34" t="s">
        <v>53</v>
      </c>
      <c r="D34">
        <v>119.8</v>
      </c>
      <c r="E34">
        <v>116.3</v>
      </c>
      <c r="F34">
        <v>122.6</v>
      </c>
      <c r="G34">
        <v>112</v>
      </c>
      <c r="H34">
        <v>103.2</v>
      </c>
      <c r="I34">
        <v>110</v>
      </c>
      <c r="J34">
        <v>192.8</v>
      </c>
      <c r="K34">
        <v>106.3</v>
      </c>
      <c r="L34">
        <v>99.5</v>
      </c>
      <c r="M34">
        <v>110.3</v>
      </c>
      <c r="N34">
        <v>111.8</v>
      </c>
      <c r="O34">
        <v>117.1</v>
      </c>
      <c r="P34">
        <v>122.9</v>
      </c>
      <c r="Q34">
        <v>114.1</v>
      </c>
      <c r="R34">
        <v>113.5</v>
      </c>
      <c r="S34">
        <v>110.3</v>
      </c>
      <c r="T34">
        <v>113</v>
      </c>
      <c r="U34" t="s">
        <v>54</v>
      </c>
      <c r="V34">
        <v>110</v>
      </c>
      <c r="W34">
        <v>110.9</v>
      </c>
      <c r="X34">
        <v>108.6</v>
      </c>
      <c r="Y34">
        <v>109.5</v>
      </c>
      <c r="Z34">
        <v>108.5</v>
      </c>
      <c r="AA34">
        <v>111.3</v>
      </c>
      <c r="AB34">
        <v>107.9</v>
      </c>
      <c r="AC34">
        <v>109.6</v>
      </c>
      <c r="AD34">
        <v>115</v>
      </c>
    </row>
    <row r="35" spans="1:30" x14ac:dyDescent="0.3">
      <c r="A35" t="s">
        <v>35</v>
      </c>
      <c r="B35">
        <v>2013</v>
      </c>
      <c r="C35" t="s">
        <v>53</v>
      </c>
      <c r="D35">
        <v>118.1</v>
      </c>
      <c r="E35">
        <v>115.4</v>
      </c>
      <c r="F35">
        <v>118.7</v>
      </c>
      <c r="G35">
        <v>112.5</v>
      </c>
      <c r="H35">
        <v>106.8</v>
      </c>
      <c r="I35">
        <v>113.5</v>
      </c>
      <c r="J35">
        <v>183.1</v>
      </c>
      <c r="K35">
        <v>108.2</v>
      </c>
      <c r="L35">
        <v>102.2</v>
      </c>
      <c r="M35">
        <v>109.4</v>
      </c>
      <c r="N35">
        <v>111.8</v>
      </c>
      <c r="O35">
        <v>116.5</v>
      </c>
      <c r="P35">
        <v>122.6</v>
      </c>
      <c r="Q35">
        <v>113.1</v>
      </c>
      <c r="R35">
        <v>114.2</v>
      </c>
      <c r="S35">
        <v>111.9</v>
      </c>
      <c r="T35">
        <v>113.8</v>
      </c>
      <c r="U35" t="s">
        <v>54</v>
      </c>
      <c r="V35">
        <v>111.6</v>
      </c>
      <c r="W35">
        <v>111.1</v>
      </c>
      <c r="X35">
        <v>109.3</v>
      </c>
      <c r="Y35">
        <v>109.5</v>
      </c>
      <c r="Z35">
        <v>108.6</v>
      </c>
      <c r="AA35">
        <v>111.2</v>
      </c>
      <c r="AB35">
        <v>108.1</v>
      </c>
      <c r="AC35">
        <v>109.7</v>
      </c>
      <c r="AD35">
        <v>116.3</v>
      </c>
    </row>
    <row r="36" spans="1:30" x14ac:dyDescent="0.3">
      <c r="A36" t="s">
        <v>30</v>
      </c>
      <c r="B36">
        <v>2013</v>
      </c>
      <c r="C36" t="s">
        <v>55</v>
      </c>
      <c r="D36">
        <v>118.4</v>
      </c>
      <c r="E36">
        <v>115.9</v>
      </c>
      <c r="F36">
        <v>120.4</v>
      </c>
      <c r="G36">
        <v>113.8</v>
      </c>
      <c r="H36">
        <v>109.5</v>
      </c>
      <c r="I36">
        <v>115.5</v>
      </c>
      <c r="J36">
        <v>145.69999999999999</v>
      </c>
      <c r="K36">
        <v>109.5</v>
      </c>
      <c r="L36">
        <v>102.9</v>
      </c>
      <c r="M36">
        <v>109.8</v>
      </c>
      <c r="N36">
        <v>112.1</v>
      </c>
      <c r="O36">
        <v>116.8</v>
      </c>
      <c r="P36">
        <v>118.7</v>
      </c>
      <c r="Q36">
        <v>113.6</v>
      </c>
      <c r="R36">
        <v>115.8</v>
      </c>
      <c r="S36">
        <v>114</v>
      </c>
      <c r="T36">
        <v>115.5</v>
      </c>
      <c r="U36" t="s">
        <v>32</v>
      </c>
      <c r="V36">
        <v>112.8</v>
      </c>
      <c r="W36">
        <v>112.1</v>
      </c>
      <c r="X36">
        <v>110.1</v>
      </c>
      <c r="Y36">
        <v>109.9</v>
      </c>
      <c r="Z36">
        <v>109.2</v>
      </c>
      <c r="AA36">
        <v>111.6</v>
      </c>
      <c r="AB36">
        <v>108.1</v>
      </c>
      <c r="AC36">
        <v>110.1</v>
      </c>
      <c r="AD36">
        <v>115.5</v>
      </c>
    </row>
    <row r="37" spans="1:30" x14ac:dyDescent="0.3">
      <c r="A37" t="s">
        <v>33</v>
      </c>
      <c r="B37">
        <v>2013</v>
      </c>
      <c r="C37" t="s">
        <v>55</v>
      </c>
      <c r="D37">
        <v>120.5</v>
      </c>
      <c r="E37">
        <v>118.1</v>
      </c>
      <c r="F37">
        <v>128.5</v>
      </c>
      <c r="G37">
        <v>112.8</v>
      </c>
      <c r="H37">
        <v>103.4</v>
      </c>
      <c r="I37">
        <v>110.7</v>
      </c>
      <c r="J37">
        <v>144.80000000000001</v>
      </c>
      <c r="K37">
        <v>107.1</v>
      </c>
      <c r="L37">
        <v>98.6</v>
      </c>
      <c r="M37">
        <v>111.9</v>
      </c>
      <c r="N37">
        <v>112.1</v>
      </c>
      <c r="O37">
        <v>118.1</v>
      </c>
      <c r="P37">
        <v>117.8</v>
      </c>
      <c r="Q37">
        <v>115</v>
      </c>
      <c r="R37">
        <v>114.2</v>
      </c>
      <c r="S37">
        <v>110.9</v>
      </c>
      <c r="T37">
        <v>113.7</v>
      </c>
      <c r="U37" t="s">
        <v>56</v>
      </c>
      <c r="V37">
        <v>110.4</v>
      </c>
      <c r="W37">
        <v>111.3</v>
      </c>
      <c r="X37">
        <v>109</v>
      </c>
      <c r="Y37">
        <v>109.7</v>
      </c>
      <c r="Z37">
        <v>108.9</v>
      </c>
      <c r="AA37">
        <v>111.4</v>
      </c>
      <c r="AB37">
        <v>107.7</v>
      </c>
      <c r="AC37">
        <v>109.8</v>
      </c>
      <c r="AD37">
        <v>113.3</v>
      </c>
    </row>
    <row r="38" spans="1:30" x14ac:dyDescent="0.3">
      <c r="A38" t="s">
        <v>35</v>
      </c>
      <c r="B38">
        <v>2013</v>
      </c>
      <c r="C38" t="s">
        <v>55</v>
      </c>
      <c r="D38">
        <v>119.1</v>
      </c>
      <c r="E38">
        <v>116.7</v>
      </c>
      <c r="F38">
        <v>123.5</v>
      </c>
      <c r="G38">
        <v>113.4</v>
      </c>
      <c r="H38">
        <v>107.3</v>
      </c>
      <c r="I38">
        <v>113.3</v>
      </c>
      <c r="J38">
        <v>145.4</v>
      </c>
      <c r="K38">
        <v>108.7</v>
      </c>
      <c r="L38">
        <v>101.5</v>
      </c>
      <c r="M38">
        <v>110.5</v>
      </c>
      <c r="N38">
        <v>112.1</v>
      </c>
      <c r="O38">
        <v>117.4</v>
      </c>
      <c r="P38">
        <v>118.4</v>
      </c>
      <c r="Q38">
        <v>114</v>
      </c>
      <c r="R38">
        <v>115.2</v>
      </c>
      <c r="S38">
        <v>112.7</v>
      </c>
      <c r="T38">
        <v>114.8</v>
      </c>
      <c r="U38" t="s">
        <v>56</v>
      </c>
      <c r="V38">
        <v>111.9</v>
      </c>
      <c r="W38">
        <v>111.7</v>
      </c>
      <c r="X38">
        <v>109.7</v>
      </c>
      <c r="Y38">
        <v>109.8</v>
      </c>
      <c r="Z38">
        <v>109</v>
      </c>
      <c r="AA38">
        <v>111.5</v>
      </c>
      <c r="AB38">
        <v>107.9</v>
      </c>
      <c r="AC38">
        <v>110</v>
      </c>
      <c r="AD38">
        <v>114.5</v>
      </c>
    </row>
    <row r="39" spans="1:30" x14ac:dyDescent="0.3">
      <c r="A39" t="s">
        <v>30</v>
      </c>
      <c r="B39">
        <v>2014</v>
      </c>
      <c r="C39" t="s">
        <v>31</v>
      </c>
      <c r="D39">
        <v>118.9</v>
      </c>
      <c r="E39">
        <v>117.1</v>
      </c>
      <c r="F39">
        <v>120.5</v>
      </c>
      <c r="G39">
        <v>114.4</v>
      </c>
      <c r="H39">
        <v>109</v>
      </c>
      <c r="I39">
        <v>115.5</v>
      </c>
      <c r="J39">
        <v>123.9</v>
      </c>
      <c r="K39">
        <v>109.6</v>
      </c>
      <c r="L39">
        <v>101.8</v>
      </c>
      <c r="M39">
        <v>110.2</v>
      </c>
      <c r="N39">
        <v>112.4</v>
      </c>
      <c r="O39">
        <v>117.3</v>
      </c>
      <c r="P39">
        <v>116</v>
      </c>
      <c r="Q39">
        <v>114</v>
      </c>
      <c r="R39">
        <v>116.5</v>
      </c>
      <c r="S39">
        <v>114.5</v>
      </c>
      <c r="T39">
        <v>116.2</v>
      </c>
      <c r="U39" t="s">
        <v>32</v>
      </c>
      <c r="V39">
        <v>113</v>
      </c>
      <c r="W39">
        <v>112.6</v>
      </c>
      <c r="X39">
        <v>110.6</v>
      </c>
      <c r="Y39">
        <v>110.5</v>
      </c>
      <c r="Z39">
        <v>109.6</v>
      </c>
      <c r="AA39">
        <v>111.8</v>
      </c>
      <c r="AB39">
        <v>108.3</v>
      </c>
      <c r="AC39">
        <v>110.6</v>
      </c>
      <c r="AD39">
        <v>114.2</v>
      </c>
    </row>
    <row r="40" spans="1:30" x14ac:dyDescent="0.3">
      <c r="A40" t="s">
        <v>33</v>
      </c>
      <c r="B40">
        <v>2014</v>
      </c>
      <c r="C40" t="s">
        <v>31</v>
      </c>
      <c r="D40">
        <v>121.2</v>
      </c>
      <c r="E40">
        <v>122</v>
      </c>
      <c r="F40">
        <v>129.9</v>
      </c>
      <c r="G40">
        <v>113.6</v>
      </c>
      <c r="H40">
        <v>102.9</v>
      </c>
      <c r="I40">
        <v>112.1</v>
      </c>
      <c r="J40">
        <v>118.9</v>
      </c>
      <c r="K40">
        <v>107.5</v>
      </c>
      <c r="L40">
        <v>96.9</v>
      </c>
      <c r="M40">
        <v>112.7</v>
      </c>
      <c r="N40">
        <v>112.1</v>
      </c>
      <c r="O40">
        <v>119</v>
      </c>
      <c r="P40">
        <v>115.5</v>
      </c>
      <c r="Q40">
        <v>115.7</v>
      </c>
      <c r="R40">
        <v>114.8</v>
      </c>
      <c r="S40">
        <v>111.3</v>
      </c>
      <c r="T40">
        <v>114.3</v>
      </c>
      <c r="U40" t="s">
        <v>57</v>
      </c>
      <c r="V40">
        <v>111</v>
      </c>
      <c r="W40">
        <v>111.9</v>
      </c>
      <c r="X40">
        <v>109.7</v>
      </c>
      <c r="Y40">
        <v>110.8</v>
      </c>
      <c r="Z40">
        <v>109.8</v>
      </c>
      <c r="AA40">
        <v>111.5</v>
      </c>
      <c r="AB40">
        <v>108</v>
      </c>
      <c r="AC40">
        <v>110.5</v>
      </c>
      <c r="AD40">
        <v>112.9</v>
      </c>
    </row>
    <row r="41" spans="1:30" x14ac:dyDescent="0.3">
      <c r="A41" t="s">
        <v>35</v>
      </c>
      <c r="B41">
        <v>2014</v>
      </c>
      <c r="C41" t="s">
        <v>31</v>
      </c>
      <c r="D41">
        <v>119.6</v>
      </c>
      <c r="E41">
        <v>118.8</v>
      </c>
      <c r="F41">
        <v>124.1</v>
      </c>
      <c r="G41">
        <v>114.1</v>
      </c>
      <c r="H41">
        <v>106.8</v>
      </c>
      <c r="I41">
        <v>113.9</v>
      </c>
      <c r="J41">
        <v>122.2</v>
      </c>
      <c r="K41">
        <v>108.9</v>
      </c>
      <c r="L41">
        <v>100.2</v>
      </c>
      <c r="M41">
        <v>111</v>
      </c>
      <c r="N41">
        <v>112.3</v>
      </c>
      <c r="O41">
        <v>118.1</v>
      </c>
      <c r="P41">
        <v>115.8</v>
      </c>
      <c r="Q41">
        <v>114.5</v>
      </c>
      <c r="R41">
        <v>115.8</v>
      </c>
      <c r="S41">
        <v>113.2</v>
      </c>
      <c r="T41">
        <v>115.4</v>
      </c>
      <c r="U41" t="s">
        <v>57</v>
      </c>
      <c r="V41">
        <v>112.2</v>
      </c>
      <c r="W41">
        <v>112.3</v>
      </c>
      <c r="X41">
        <v>110.3</v>
      </c>
      <c r="Y41">
        <v>110.7</v>
      </c>
      <c r="Z41">
        <v>109.7</v>
      </c>
      <c r="AA41">
        <v>111.6</v>
      </c>
      <c r="AB41">
        <v>108.2</v>
      </c>
      <c r="AC41">
        <v>110.6</v>
      </c>
      <c r="AD41">
        <v>113.6</v>
      </c>
    </row>
    <row r="42" spans="1:30" x14ac:dyDescent="0.3">
      <c r="A42" t="s">
        <v>30</v>
      </c>
      <c r="B42">
        <v>2014</v>
      </c>
      <c r="C42" t="s">
        <v>36</v>
      </c>
      <c r="D42">
        <v>119.4</v>
      </c>
      <c r="E42">
        <v>117.7</v>
      </c>
      <c r="F42">
        <v>121.2</v>
      </c>
      <c r="G42">
        <v>115</v>
      </c>
      <c r="H42">
        <v>109</v>
      </c>
      <c r="I42">
        <v>116.6</v>
      </c>
      <c r="J42">
        <v>116</v>
      </c>
      <c r="K42">
        <v>109.8</v>
      </c>
      <c r="L42">
        <v>101.1</v>
      </c>
      <c r="M42">
        <v>110.4</v>
      </c>
      <c r="N42">
        <v>112.9</v>
      </c>
      <c r="O42">
        <v>117.8</v>
      </c>
      <c r="P42">
        <v>115.3</v>
      </c>
      <c r="Q42">
        <v>114.2</v>
      </c>
      <c r="R42">
        <v>117.1</v>
      </c>
      <c r="S42">
        <v>114.5</v>
      </c>
      <c r="T42">
        <v>116.7</v>
      </c>
      <c r="U42" t="s">
        <v>32</v>
      </c>
      <c r="V42">
        <v>113.2</v>
      </c>
      <c r="W42">
        <v>112.9</v>
      </c>
      <c r="X42">
        <v>110.9</v>
      </c>
      <c r="Y42">
        <v>110.8</v>
      </c>
      <c r="Z42">
        <v>109.9</v>
      </c>
      <c r="AA42">
        <v>112</v>
      </c>
      <c r="AB42">
        <v>108.7</v>
      </c>
      <c r="AC42">
        <v>110.9</v>
      </c>
      <c r="AD42">
        <v>114</v>
      </c>
    </row>
    <row r="43" spans="1:30" x14ac:dyDescent="0.3">
      <c r="A43" t="s">
        <v>33</v>
      </c>
      <c r="B43">
        <v>2014</v>
      </c>
      <c r="C43" t="s">
        <v>36</v>
      </c>
      <c r="D43">
        <v>121.9</v>
      </c>
      <c r="E43">
        <v>122</v>
      </c>
      <c r="F43">
        <v>124.5</v>
      </c>
      <c r="G43">
        <v>115.2</v>
      </c>
      <c r="H43">
        <v>102.5</v>
      </c>
      <c r="I43">
        <v>114.1</v>
      </c>
      <c r="J43">
        <v>111.5</v>
      </c>
      <c r="K43">
        <v>108.2</v>
      </c>
      <c r="L43">
        <v>95.4</v>
      </c>
      <c r="M43">
        <v>113.5</v>
      </c>
      <c r="N43">
        <v>112.1</v>
      </c>
      <c r="O43">
        <v>119.9</v>
      </c>
      <c r="P43">
        <v>115.2</v>
      </c>
      <c r="Q43">
        <v>116.2</v>
      </c>
      <c r="R43">
        <v>115.3</v>
      </c>
      <c r="S43">
        <v>111.7</v>
      </c>
      <c r="T43">
        <v>114.7</v>
      </c>
      <c r="U43" t="s">
        <v>58</v>
      </c>
      <c r="V43">
        <v>111.1</v>
      </c>
      <c r="W43">
        <v>112.6</v>
      </c>
      <c r="X43">
        <v>110.4</v>
      </c>
      <c r="Y43">
        <v>111.3</v>
      </c>
      <c r="Z43">
        <v>110.3</v>
      </c>
      <c r="AA43">
        <v>111.6</v>
      </c>
      <c r="AB43">
        <v>108.7</v>
      </c>
      <c r="AC43">
        <v>111</v>
      </c>
      <c r="AD43">
        <v>113.1</v>
      </c>
    </row>
    <row r="44" spans="1:30" x14ac:dyDescent="0.3">
      <c r="A44" t="s">
        <v>35</v>
      </c>
      <c r="B44">
        <v>2014</v>
      </c>
      <c r="C44" t="s">
        <v>36</v>
      </c>
      <c r="D44">
        <v>120.2</v>
      </c>
      <c r="E44">
        <v>119.2</v>
      </c>
      <c r="F44">
        <v>122.5</v>
      </c>
      <c r="G44">
        <v>115.1</v>
      </c>
      <c r="H44">
        <v>106.6</v>
      </c>
      <c r="I44">
        <v>115.4</v>
      </c>
      <c r="J44">
        <v>114.5</v>
      </c>
      <c r="K44">
        <v>109.3</v>
      </c>
      <c r="L44">
        <v>99.2</v>
      </c>
      <c r="M44">
        <v>111.4</v>
      </c>
      <c r="N44">
        <v>112.6</v>
      </c>
      <c r="O44">
        <v>118.8</v>
      </c>
      <c r="P44">
        <v>115.3</v>
      </c>
      <c r="Q44">
        <v>114.7</v>
      </c>
      <c r="R44">
        <v>116.4</v>
      </c>
      <c r="S44">
        <v>113.3</v>
      </c>
      <c r="T44">
        <v>115.9</v>
      </c>
      <c r="U44" t="s">
        <v>58</v>
      </c>
      <c r="V44">
        <v>112.4</v>
      </c>
      <c r="W44">
        <v>112.8</v>
      </c>
      <c r="X44">
        <v>110.7</v>
      </c>
      <c r="Y44">
        <v>111.1</v>
      </c>
      <c r="Z44">
        <v>110.1</v>
      </c>
      <c r="AA44">
        <v>111.8</v>
      </c>
      <c r="AB44">
        <v>108.7</v>
      </c>
      <c r="AC44">
        <v>110.9</v>
      </c>
      <c r="AD44">
        <v>113.6</v>
      </c>
    </row>
    <row r="45" spans="1:30" x14ac:dyDescent="0.3">
      <c r="A45" t="s">
        <v>30</v>
      </c>
      <c r="B45">
        <v>2014</v>
      </c>
      <c r="C45" t="s">
        <v>38</v>
      </c>
      <c r="D45">
        <v>120.1</v>
      </c>
      <c r="E45">
        <v>118.1</v>
      </c>
      <c r="F45">
        <v>120.7</v>
      </c>
      <c r="G45">
        <v>116.1</v>
      </c>
      <c r="H45">
        <v>109.3</v>
      </c>
      <c r="I45">
        <v>119.6</v>
      </c>
      <c r="J45">
        <v>117.9</v>
      </c>
      <c r="K45">
        <v>110.2</v>
      </c>
      <c r="L45">
        <v>101.2</v>
      </c>
      <c r="M45">
        <v>110.7</v>
      </c>
      <c r="N45">
        <v>113</v>
      </c>
      <c r="O45">
        <v>118.3</v>
      </c>
      <c r="P45">
        <v>116.2</v>
      </c>
      <c r="Q45">
        <v>114.6</v>
      </c>
      <c r="R45">
        <v>117.5</v>
      </c>
      <c r="S45">
        <v>114.9</v>
      </c>
      <c r="T45">
        <v>117.2</v>
      </c>
      <c r="U45" t="s">
        <v>32</v>
      </c>
      <c r="V45">
        <v>113.4</v>
      </c>
      <c r="W45">
        <v>113.4</v>
      </c>
      <c r="X45">
        <v>111.4</v>
      </c>
      <c r="Y45">
        <v>111.2</v>
      </c>
      <c r="Z45">
        <v>110.2</v>
      </c>
      <c r="AA45">
        <v>112.4</v>
      </c>
      <c r="AB45">
        <v>108.9</v>
      </c>
      <c r="AC45">
        <v>111.3</v>
      </c>
      <c r="AD45">
        <v>114.6</v>
      </c>
    </row>
    <row r="46" spans="1:30" x14ac:dyDescent="0.3">
      <c r="A46" t="s">
        <v>33</v>
      </c>
      <c r="B46">
        <v>2014</v>
      </c>
      <c r="C46" t="s">
        <v>38</v>
      </c>
      <c r="D46">
        <v>122.1</v>
      </c>
      <c r="E46">
        <v>121.4</v>
      </c>
      <c r="F46">
        <v>121.5</v>
      </c>
      <c r="G46">
        <v>116.2</v>
      </c>
      <c r="H46">
        <v>102.8</v>
      </c>
      <c r="I46">
        <v>117.7</v>
      </c>
      <c r="J46">
        <v>113.3</v>
      </c>
      <c r="K46">
        <v>108.9</v>
      </c>
      <c r="L46">
        <v>96.3</v>
      </c>
      <c r="M46">
        <v>114.1</v>
      </c>
      <c r="N46">
        <v>112.2</v>
      </c>
      <c r="O46">
        <v>120.5</v>
      </c>
      <c r="P46">
        <v>116</v>
      </c>
      <c r="Q46">
        <v>116.7</v>
      </c>
      <c r="R46">
        <v>115.8</v>
      </c>
      <c r="S46">
        <v>112.1</v>
      </c>
      <c r="T46">
        <v>115.2</v>
      </c>
      <c r="U46" t="s">
        <v>59</v>
      </c>
      <c r="V46">
        <v>110.9</v>
      </c>
      <c r="W46">
        <v>113</v>
      </c>
      <c r="X46">
        <v>110.8</v>
      </c>
      <c r="Y46">
        <v>111.6</v>
      </c>
      <c r="Z46">
        <v>110.9</v>
      </c>
      <c r="AA46">
        <v>111.8</v>
      </c>
      <c r="AB46">
        <v>109.2</v>
      </c>
      <c r="AC46">
        <v>111.4</v>
      </c>
      <c r="AD46">
        <v>113.7</v>
      </c>
    </row>
    <row r="47" spans="1:30" x14ac:dyDescent="0.3">
      <c r="A47" t="s">
        <v>35</v>
      </c>
      <c r="B47">
        <v>2014</v>
      </c>
      <c r="C47" t="s">
        <v>60</v>
      </c>
      <c r="D47">
        <v>120.7</v>
      </c>
      <c r="E47">
        <v>119.3</v>
      </c>
      <c r="F47">
        <v>121</v>
      </c>
      <c r="G47">
        <v>116.1</v>
      </c>
      <c r="H47">
        <v>106.9</v>
      </c>
      <c r="I47">
        <v>118.7</v>
      </c>
      <c r="J47">
        <v>116.3</v>
      </c>
      <c r="K47">
        <v>109.8</v>
      </c>
      <c r="L47">
        <v>99.6</v>
      </c>
      <c r="M47">
        <v>111.8</v>
      </c>
      <c r="N47">
        <v>112.7</v>
      </c>
      <c r="O47">
        <v>119.3</v>
      </c>
      <c r="P47">
        <v>116.1</v>
      </c>
      <c r="Q47">
        <v>115.2</v>
      </c>
      <c r="R47">
        <v>116.8</v>
      </c>
      <c r="S47">
        <v>113.7</v>
      </c>
      <c r="T47">
        <v>116.4</v>
      </c>
      <c r="U47" t="s">
        <v>59</v>
      </c>
      <c r="V47">
        <v>112.5</v>
      </c>
      <c r="W47">
        <v>113.2</v>
      </c>
      <c r="X47">
        <v>111.2</v>
      </c>
      <c r="Y47">
        <v>111.4</v>
      </c>
      <c r="Z47">
        <v>110.6</v>
      </c>
      <c r="AA47">
        <v>112</v>
      </c>
      <c r="AB47">
        <v>109</v>
      </c>
      <c r="AC47">
        <v>111.3</v>
      </c>
      <c r="AD47">
        <v>114.2</v>
      </c>
    </row>
    <row r="48" spans="1:30" x14ac:dyDescent="0.3">
      <c r="A48" t="s">
        <v>30</v>
      </c>
      <c r="B48">
        <v>2014</v>
      </c>
      <c r="C48" t="s">
        <v>39</v>
      </c>
      <c r="D48">
        <v>120.2</v>
      </c>
      <c r="E48">
        <v>118.9</v>
      </c>
      <c r="F48">
        <v>118.1</v>
      </c>
      <c r="G48">
        <v>117</v>
      </c>
      <c r="H48">
        <v>109.7</v>
      </c>
      <c r="I48">
        <v>125.5</v>
      </c>
      <c r="J48">
        <v>120.5</v>
      </c>
      <c r="K48">
        <v>111</v>
      </c>
      <c r="L48">
        <v>102.6</v>
      </c>
      <c r="M48">
        <v>111.2</v>
      </c>
      <c r="N48">
        <v>113.5</v>
      </c>
      <c r="O48">
        <v>118.7</v>
      </c>
      <c r="P48">
        <v>117.2</v>
      </c>
      <c r="Q48">
        <v>115.4</v>
      </c>
      <c r="R48">
        <v>118.1</v>
      </c>
      <c r="S48">
        <v>116.1</v>
      </c>
      <c r="T48">
        <v>117.8</v>
      </c>
      <c r="U48" t="s">
        <v>32</v>
      </c>
      <c r="V48">
        <v>113.4</v>
      </c>
      <c r="W48">
        <v>113.7</v>
      </c>
      <c r="X48">
        <v>111.8</v>
      </c>
      <c r="Y48">
        <v>111.2</v>
      </c>
      <c r="Z48">
        <v>110.5</v>
      </c>
      <c r="AA48">
        <v>113</v>
      </c>
      <c r="AB48">
        <v>108.9</v>
      </c>
      <c r="AC48">
        <v>111.5</v>
      </c>
      <c r="AD48">
        <v>115.4</v>
      </c>
    </row>
    <row r="49" spans="1:30" x14ac:dyDescent="0.3">
      <c r="A49" t="s">
        <v>33</v>
      </c>
      <c r="B49">
        <v>2014</v>
      </c>
      <c r="C49" t="s">
        <v>39</v>
      </c>
      <c r="D49">
        <v>122.5</v>
      </c>
      <c r="E49">
        <v>121.7</v>
      </c>
      <c r="F49">
        <v>113.3</v>
      </c>
      <c r="G49">
        <v>117</v>
      </c>
      <c r="H49">
        <v>103.1</v>
      </c>
      <c r="I49">
        <v>126.7</v>
      </c>
      <c r="J49">
        <v>121.2</v>
      </c>
      <c r="K49">
        <v>111</v>
      </c>
      <c r="L49">
        <v>100.3</v>
      </c>
      <c r="M49">
        <v>115.3</v>
      </c>
      <c r="N49">
        <v>112.7</v>
      </c>
      <c r="O49">
        <v>121</v>
      </c>
      <c r="P49">
        <v>118.2</v>
      </c>
      <c r="Q49">
        <v>117.6</v>
      </c>
      <c r="R49">
        <v>116.3</v>
      </c>
      <c r="S49">
        <v>112.5</v>
      </c>
      <c r="T49">
        <v>115.7</v>
      </c>
      <c r="U49" t="s">
        <v>61</v>
      </c>
      <c r="V49">
        <v>110.9</v>
      </c>
      <c r="W49">
        <v>113.4</v>
      </c>
      <c r="X49">
        <v>111</v>
      </c>
      <c r="Y49">
        <v>111.2</v>
      </c>
      <c r="Z49">
        <v>111.2</v>
      </c>
      <c r="AA49">
        <v>112.5</v>
      </c>
      <c r="AB49">
        <v>109.1</v>
      </c>
      <c r="AC49">
        <v>111.4</v>
      </c>
      <c r="AD49">
        <v>114.7</v>
      </c>
    </row>
    <row r="50" spans="1:30" x14ac:dyDescent="0.3">
      <c r="A50" t="s">
        <v>35</v>
      </c>
      <c r="B50">
        <v>2014</v>
      </c>
      <c r="C50" t="s">
        <v>39</v>
      </c>
      <c r="D50">
        <v>120.9</v>
      </c>
      <c r="E50">
        <v>119.9</v>
      </c>
      <c r="F50">
        <v>116.2</v>
      </c>
      <c r="G50">
        <v>117</v>
      </c>
      <c r="H50">
        <v>107.3</v>
      </c>
      <c r="I50">
        <v>126.1</v>
      </c>
      <c r="J50">
        <v>120.7</v>
      </c>
      <c r="K50">
        <v>111</v>
      </c>
      <c r="L50">
        <v>101.8</v>
      </c>
      <c r="M50">
        <v>112.6</v>
      </c>
      <c r="N50">
        <v>113.2</v>
      </c>
      <c r="O50">
        <v>119.8</v>
      </c>
      <c r="P50">
        <v>117.6</v>
      </c>
      <c r="Q50">
        <v>116</v>
      </c>
      <c r="R50">
        <v>117.4</v>
      </c>
      <c r="S50">
        <v>114.6</v>
      </c>
      <c r="T50">
        <v>117</v>
      </c>
      <c r="U50" t="s">
        <v>61</v>
      </c>
      <c r="V50">
        <v>112.5</v>
      </c>
      <c r="W50">
        <v>113.6</v>
      </c>
      <c r="X50">
        <v>111.5</v>
      </c>
      <c r="Y50">
        <v>111.2</v>
      </c>
      <c r="Z50">
        <v>110.9</v>
      </c>
      <c r="AA50">
        <v>112.7</v>
      </c>
      <c r="AB50">
        <v>109</v>
      </c>
      <c r="AC50">
        <v>111.5</v>
      </c>
      <c r="AD50">
        <v>115.1</v>
      </c>
    </row>
    <row r="51" spans="1:30" x14ac:dyDescent="0.3">
      <c r="A51" t="s">
        <v>30</v>
      </c>
      <c r="B51">
        <v>2014</v>
      </c>
      <c r="C51" t="s">
        <v>41</v>
      </c>
      <c r="D51">
        <v>120.3</v>
      </c>
      <c r="E51">
        <v>120.2</v>
      </c>
      <c r="F51">
        <v>116.9</v>
      </c>
      <c r="G51">
        <v>118</v>
      </c>
      <c r="H51">
        <v>110.1</v>
      </c>
      <c r="I51">
        <v>126.3</v>
      </c>
      <c r="J51">
        <v>123.9</v>
      </c>
      <c r="K51">
        <v>111.5</v>
      </c>
      <c r="L51">
        <v>103.5</v>
      </c>
      <c r="M51">
        <v>111.6</v>
      </c>
      <c r="N51">
        <v>114.2</v>
      </c>
      <c r="O51">
        <v>119.2</v>
      </c>
      <c r="P51">
        <v>118.2</v>
      </c>
      <c r="Q51">
        <v>116.3</v>
      </c>
      <c r="R51">
        <v>118.7</v>
      </c>
      <c r="S51">
        <v>116.8</v>
      </c>
      <c r="T51">
        <v>118.5</v>
      </c>
      <c r="U51" t="s">
        <v>32</v>
      </c>
      <c r="V51">
        <v>113.4</v>
      </c>
      <c r="W51">
        <v>114.1</v>
      </c>
      <c r="X51">
        <v>112.1</v>
      </c>
      <c r="Y51">
        <v>111.4</v>
      </c>
      <c r="Z51">
        <v>110.9</v>
      </c>
      <c r="AA51">
        <v>113.1</v>
      </c>
      <c r="AB51">
        <v>108.9</v>
      </c>
      <c r="AC51">
        <v>111.8</v>
      </c>
      <c r="AD51">
        <v>116</v>
      </c>
    </row>
    <row r="52" spans="1:30" x14ac:dyDescent="0.3">
      <c r="A52" t="s">
        <v>33</v>
      </c>
      <c r="B52">
        <v>2014</v>
      </c>
      <c r="C52" t="s">
        <v>41</v>
      </c>
      <c r="D52">
        <v>122.7</v>
      </c>
      <c r="E52">
        <v>124.1</v>
      </c>
      <c r="F52">
        <v>114.2</v>
      </c>
      <c r="G52">
        <v>119.1</v>
      </c>
      <c r="H52">
        <v>103.5</v>
      </c>
      <c r="I52">
        <v>129.19999999999999</v>
      </c>
      <c r="J52">
        <v>127</v>
      </c>
      <c r="K52">
        <v>112.6</v>
      </c>
      <c r="L52">
        <v>101.3</v>
      </c>
      <c r="M52">
        <v>117</v>
      </c>
      <c r="N52">
        <v>112.9</v>
      </c>
      <c r="O52">
        <v>121.7</v>
      </c>
      <c r="P52">
        <v>120</v>
      </c>
      <c r="Q52">
        <v>118.3</v>
      </c>
      <c r="R52">
        <v>116.8</v>
      </c>
      <c r="S52">
        <v>112.9</v>
      </c>
      <c r="T52">
        <v>116.2</v>
      </c>
      <c r="U52" t="s">
        <v>62</v>
      </c>
      <c r="V52">
        <v>111.1</v>
      </c>
      <c r="W52">
        <v>114.1</v>
      </c>
      <c r="X52">
        <v>111.2</v>
      </c>
      <c r="Y52">
        <v>111.3</v>
      </c>
      <c r="Z52">
        <v>111.5</v>
      </c>
      <c r="AA52">
        <v>112.9</v>
      </c>
      <c r="AB52">
        <v>109.3</v>
      </c>
      <c r="AC52">
        <v>111.7</v>
      </c>
      <c r="AD52">
        <v>115.6</v>
      </c>
    </row>
    <row r="53" spans="1:30" x14ac:dyDescent="0.3">
      <c r="A53" t="s">
        <v>35</v>
      </c>
      <c r="B53">
        <v>2014</v>
      </c>
      <c r="C53" t="s">
        <v>41</v>
      </c>
      <c r="D53">
        <v>121.1</v>
      </c>
      <c r="E53">
        <v>121.6</v>
      </c>
      <c r="F53">
        <v>115.9</v>
      </c>
      <c r="G53">
        <v>118.4</v>
      </c>
      <c r="H53">
        <v>107.7</v>
      </c>
      <c r="I53">
        <v>127.7</v>
      </c>
      <c r="J53">
        <v>125</v>
      </c>
      <c r="K53">
        <v>111.9</v>
      </c>
      <c r="L53">
        <v>102.8</v>
      </c>
      <c r="M53">
        <v>113.4</v>
      </c>
      <c r="N53">
        <v>113.7</v>
      </c>
      <c r="O53">
        <v>120.4</v>
      </c>
      <c r="P53">
        <v>118.9</v>
      </c>
      <c r="Q53">
        <v>116.8</v>
      </c>
      <c r="R53">
        <v>118</v>
      </c>
      <c r="S53">
        <v>115.2</v>
      </c>
      <c r="T53">
        <v>117.6</v>
      </c>
      <c r="U53" t="s">
        <v>62</v>
      </c>
      <c r="V53">
        <v>112.5</v>
      </c>
      <c r="W53">
        <v>114.1</v>
      </c>
      <c r="X53">
        <v>111.8</v>
      </c>
      <c r="Y53">
        <v>111.3</v>
      </c>
      <c r="Z53">
        <v>111.2</v>
      </c>
      <c r="AA53">
        <v>113</v>
      </c>
      <c r="AB53">
        <v>109.1</v>
      </c>
      <c r="AC53">
        <v>111.8</v>
      </c>
      <c r="AD53">
        <v>115.8</v>
      </c>
    </row>
    <row r="54" spans="1:30" x14ac:dyDescent="0.3">
      <c r="A54" t="s">
        <v>30</v>
      </c>
      <c r="B54">
        <v>2014</v>
      </c>
      <c r="C54" t="s">
        <v>42</v>
      </c>
      <c r="D54">
        <v>120.7</v>
      </c>
      <c r="E54">
        <v>121.6</v>
      </c>
      <c r="F54">
        <v>116.1</v>
      </c>
      <c r="G54">
        <v>119.3</v>
      </c>
      <c r="H54">
        <v>110.3</v>
      </c>
      <c r="I54">
        <v>125.8</v>
      </c>
      <c r="J54">
        <v>129.30000000000001</v>
      </c>
      <c r="K54">
        <v>112.2</v>
      </c>
      <c r="L54">
        <v>103.6</v>
      </c>
      <c r="M54">
        <v>112.3</v>
      </c>
      <c r="N54">
        <v>114.9</v>
      </c>
      <c r="O54">
        <v>120.1</v>
      </c>
      <c r="P54">
        <v>119.5</v>
      </c>
      <c r="Q54">
        <v>117.3</v>
      </c>
      <c r="R54">
        <v>119.7</v>
      </c>
      <c r="S54">
        <v>117.3</v>
      </c>
      <c r="T54">
        <v>119.3</v>
      </c>
      <c r="U54" t="s">
        <v>32</v>
      </c>
      <c r="V54">
        <v>114.4</v>
      </c>
      <c r="W54">
        <v>114.9</v>
      </c>
      <c r="X54">
        <v>112.8</v>
      </c>
      <c r="Y54">
        <v>112.2</v>
      </c>
      <c r="Z54">
        <v>111.4</v>
      </c>
      <c r="AA54">
        <v>114.3</v>
      </c>
      <c r="AB54">
        <v>108</v>
      </c>
      <c r="AC54">
        <v>112.3</v>
      </c>
      <c r="AD54">
        <v>117</v>
      </c>
    </row>
    <row r="55" spans="1:30" x14ac:dyDescent="0.3">
      <c r="A55" t="s">
        <v>33</v>
      </c>
      <c r="B55">
        <v>2014</v>
      </c>
      <c r="C55" t="s">
        <v>42</v>
      </c>
      <c r="D55">
        <v>123.1</v>
      </c>
      <c r="E55">
        <v>125.9</v>
      </c>
      <c r="F55">
        <v>115.4</v>
      </c>
      <c r="G55">
        <v>120.4</v>
      </c>
      <c r="H55">
        <v>103.4</v>
      </c>
      <c r="I55">
        <v>131.19999999999999</v>
      </c>
      <c r="J55">
        <v>137.5</v>
      </c>
      <c r="K55">
        <v>112.8</v>
      </c>
      <c r="L55">
        <v>101.4</v>
      </c>
      <c r="M55">
        <v>118.3</v>
      </c>
      <c r="N55">
        <v>113.2</v>
      </c>
      <c r="O55">
        <v>122.4</v>
      </c>
      <c r="P55">
        <v>122</v>
      </c>
      <c r="Q55">
        <v>119</v>
      </c>
      <c r="R55">
        <v>117.4</v>
      </c>
      <c r="S55">
        <v>113.2</v>
      </c>
      <c r="T55">
        <v>116.7</v>
      </c>
      <c r="U55" t="s">
        <v>61</v>
      </c>
      <c r="V55">
        <v>111.2</v>
      </c>
      <c r="W55">
        <v>114.3</v>
      </c>
      <c r="X55">
        <v>111.4</v>
      </c>
      <c r="Y55">
        <v>111.5</v>
      </c>
      <c r="Z55">
        <v>111.8</v>
      </c>
      <c r="AA55">
        <v>115.1</v>
      </c>
      <c r="AB55">
        <v>108.7</v>
      </c>
      <c r="AC55">
        <v>112.2</v>
      </c>
      <c r="AD55">
        <v>116.4</v>
      </c>
    </row>
    <row r="56" spans="1:30" x14ac:dyDescent="0.3">
      <c r="A56" t="s">
        <v>35</v>
      </c>
      <c r="B56">
        <v>2014</v>
      </c>
      <c r="C56" t="s">
        <v>42</v>
      </c>
      <c r="D56">
        <v>121.5</v>
      </c>
      <c r="E56">
        <v>123.1</v>
      </c>
      <c r="F56">
        <v>115.8</v>
      </c>
      <c r="G56">
        <v>119.7</v>
      </c>
      <c r="H56">
        <v>107.8</v>
      </c>
      <c r="I56">
        <v>128.30000000000001</v>
      </c>
      <c r="J56">
        <v>132.1</v>
      </c>
      <c r="K56">
        <v>112.4</v>
      </c>
      <c r="L56">
        <v>102.9</v>
      </c>
      <c r="M56">
        <v>114.3</v>
      </c>
      <c r="N56">
        <v>114.2</v>
      </c>
      <c r="O56">
        <v>121.2</v>
      </c>
      <c r="P56">
        <v>120.4</v>
      </c>
      <c r="Q56">
        <v>117.8</v>
      </c>
      <c r="R56">
        <v>118.8</v>
      </c>
      <c r="S56">
        <v>115.6</v>
      </c>
      <c r="T56">
        <v>118.3</v>
      </c>
      <c r="U56" t="s">
        <v>61</v>
      </c>
      <c r="V56">
        <v>113.2</v>
      </c>
      <c r="W56">
        <v>114.6</v>
      </c>
      <c r="X56">
        <v>112.3</v>
      </c>
      <c r="Y56">
        <v>111.8</v>
      </c>
      <c r="Z56">
        <v>111.6</v>
      </c>
      <c r="AA56">
        <v>114.8</v>
      </c>
      <c r="AB56">
        <v>108.3</v>
      </c>
      <c r="AC56">
        <v>112.3</v>
      </c>
      <c r="AD56">
        <v>116.7</v>
      </c>
    </row>
    <row r="57" spans="1:30" x14ac:dyDescent="0.3">
      <c r="A57" t="s">
        <v>30</v>
      </c>
      <c r="B57">
        <v>2014</v>
      </c>
      <c r="C57" t="s">
        <v>44</v>
      </c>
      <c r="D57">
        <v>121.7</v>
      </c>
      <c r="E57">
        <v>122.5</v>
      </c>
      <c r="F57">
        <v>117.7</v>
      </c>
      <c r="G57">
        <v>120.6</v>
      </c>
      <c r="H57">
        <v>110.4</v>
      </c>
      <c r="I57">
        <v>129.1</v>
      </c>
      <c r="J57">
        <v>150.1</v>
      </c>
      <c r="K57">
        <v>113.2</v>
      </c>
      <c r="L57">
        <v>104.8</v>
      </c>
      <c r="M57">
        <v>113.3</v>
      </c>
      <c r="N57">
        <v>115.6</v>
      </c>
      <c r="O57">
        <v>120.9</v>
      </c>
      <c r="P57">
        <v>123.3</v>
      </c>
      <c r="Q57">
        <v>118</v>
      </c>
      <c r="R57">
        <v>120.7</v>
      </c>
      <c r="S57">
        <v>118.3</v>
      </c>
      <c r="T57">
        <v>120.3</v>
      </c>
      <c r="U57" t="s">
        <v>32</v>
      </c>
      <c r="V57">
        <v>115.3</v>
      </c>
      <c r="W57">
        <v>115.4</v>
      </c>
      <c r="X57">
        <v>113.4</v>
      </c>
      <c r="Y57">
        <v>113.2</v>
      </c>
      <c r="Z57">
        <v>111.8</v>
      </c>
      <c r="AA57">
        <v>115.5</v>
      </c>
      <c r="AB57">
        <v>108.8</v>
      </c>
      <c r="AC57">
        <v>113.1</v>
      </c>
      <c r="AD57">
        <v>119.5</v>
      </c>
    </row>
    <row r="58" spans="1:30" x14ac:dyDescent="0.3">
      <c r="A58" t="s">
        <v>33</v>
      </c>
      <c r="B58">
        <v>2014</v>
      </c>
      <c r="C58" t="s">
        <v>44</v>
      </c>
      <c r="D58">
        <v>123.8</v>
      </c>
      <c r="E58">
        <v>126.4</v>
      </c>
      <c r="F58">
        <v>118</v>
      </c>
      <c r="G58">
        <v>121.6</v>
      </c>
      <c r="H58">
        <v>103.5</v>
      </c>
      <c r="I58">
        <v>133.69999999999999</v>
      </c>
      <c r="J58">
        <v>172.4</v>
      </c>
      <c r="K58">
        <v>113.1</v>
      </c>
      <c r="L58">
        <v>102.7</v>
      </c>
      <c r="M58">
        <v>120</v>
      </c>
      <c r="N58">
        <v>113.8</v>
      </c>
      <c r="O58">
        <v>123.4</v>
      </c>
      <c r="P58">
        <v>127.1</v>
      </c>
      <c r="Q58">
        <v>121</v>
      </c>
      <c r="R58">
        <v>118</v>
      </c>
      <c r="S58">
        <v>113.6</v>
      </c>
      <c r="T58">
        <v>117.4</v>
      </c>
      <c r="U58" t="s">
        <v>63</v>
      </c>
      <c r="V58">
        <v>111.6</v>
      </c>
      <c r="W58">
        <v>114.9</v>
      </c>
      <c r="X58">
        <v>111.5</v>
      </c>
      <c r="Y58">
        <v>113</v>
      </c>
      <c r="Z58">
        <v>112.4</v>
      </c>
      <c r="AA58">
        <v>117.8</v>
      </c>
      <c r="AB58">
        <v>109.7</v>
      </c>
      <c r="AC58">
        <v>113.5</v>
      </c>
      <c r="AD58">
        <v>118.9</v>
      </c>
    </row>
    <row r="59" spans="1:30" x14ac:dyDescent="0.3">
      <c r="A59" t="s">
        <v>35</v>
      </c>
      <c r="B59">
        <v>2014</v>
      </c>
      <c r="C59" t="s">
        <v>44</v>
      </c>
      <c r="D59">
        <v>122.4</v>
      </c>
      <c r="E59">
        <v>123.9</v>
      </c>
      <c r="F59">
        <v>117.8</v>
      </c>
      <c r="G59">
        <v>121</v>
      </c>
      <c r="H59">
        <v>107.9</v>
      </c>
      <c r="I59">
        <v>131.19999999999999</v>
      </c>
      <c r="J59">
        <v>157.69999999999999</v>
      </c>
      <c r="K59">
        <v>113.2</v>
      </c>
      <c r="L59">
        <v>104.1</v>
      </c>
      <c r="M59">
        <v>115.5</v>
      </c>
      <c r="N59">
        <v>114.8</v>
      </c>
      <c r="O59">
        <v>122.1</v>
      </c>
      <c r="P59">
        <v>124.7</v>
      </c>
      <c r="Q59">
        <v>118.8</v>
      </c>
      <c r="R59">
        <v>119.6</v>
      </c>
      <c r="S59">
        <v>116.3</v>
      </c>
      <c r="T59">
        <v>119.1</v>
      </c>
      <c r="U59" t="s">
        <v>63</v>
      </c>
      <c r="V59">
        <v>113.9</v>
      </c>
      <c r="W59">
        <v>115.2</v>
      </c>
      <c r="X59">
        <v>112.7</v>
      </c>
      <c r="Y59">
        <v>113.1</v>
      </c>
      <c r="Z59">
        <v>112.1</v>
      </c>
      <c r="AA59">
        <v>116.8</v>
      </c>
      <c r="AB59">
        <v>109.2</v>
      </c>
      <c r="AC59">
        <v>113.3</v>
      </c>
      <c r="AD59">
        <v>119.2</v>
      </c>
    </row>
    <row r="60" spans="1:30" x14ac:dyDescent="0.3">
      <c r="A60" t="s">
        <v>30</v>
      </c>
      <c r="B60">
        <v>2014</v>
      </c>
      <c r="C60" t="s">
        <v>46</v>
      </c>
      <c r="D60">
        <v>121.8</v>
      </c>
      <c r="E60">
        <v>122.8</v>
      </c>
      <c r="F60">
        <v>117.8</v>
      </c>
      <c r="G60">
        <v>121.9</v>
      </c>
      <c r="H60">
        <v>110.6</v>
      </c>
      <c r="I60">
        <v>129.69999999999999</v>
      </c>
      <c r="J60">
        <v>161.1</v>
      </c>
      <c r="K60">
        <v>114.1</v>
      </c>
      <c r="L60">
        <v>105.1</v>
      </c>
      <c r="M60">
        <v>114.6</v>
      </c>
      <c r="N60">
        <v>115.8</v>
      </c>
      <c r="O60">
        <v>121.7</v>
      </c>
      <c r="P60">
        <v>125.3</v>
      </c>
      <c r="Q60">
        <v>118.8</v>
      </c>
      <c r="R60">
        <v>120.9</v>
      </c>
      <c r="S60">
        <v>118.8</v>
      </c>
      <c r="T60">
        <v>120.7</v>
      </c>
      <c r="U60" t="s">
        <v>32</v>
      </c>
      <c r="V60">
        <v>115.4</v>
      </c>
      <c r="W60">
        <v>115.9</v>
      </c>
      <c r="X60">
        <v>114</v>
      </c>
      <c r="Y60">
        <v>113.2</v>
      </c>
      <c r="Z60">
        <v>112.2</v>
      </c>
      <c r="AA60">
        <v>116.2</v>
      </c>
      <c r="AB60">
        <v>109.4</v>
      </c>
      <c r="AC60">
        <v>113.5</v>
      </c>
      <c r="AD60">
        <v>120.7</v>
      </c>
    </row>
    <row r="61" spans="1:30" x14ac:dyDescent="0.3">
      <c r="A61" t="s">
        <v>33</v>
      </c>
      <c r="B61">
        <v>2014</v>
      </c>
      <c r="C61" t="s">
        <v>46</v>
      </c>
      <c r="D61">
        <v>124.8</v>
      </c>
      <c r="E61">
        <v>127.3</v>
      </c>
      <c r="F61">
        <v>116.5</v>
      </c>
      <c r="G61">
        <v>122.2</v>
      </c>
      <c r="H61">
        <v>103.6</v>
      </c>
      <c r="I61">
        <v>132.69999999999999</v>
      </c>
      <c r="J61">
        <v>181.9</v>
      </c>
      <c r="K61">
        <v>115.2</v>
      </c>
      <c r="L61">
        <v>102.7</v>
      </c>
      <c r="M61">
        <v>122.1</v>
      </c>
      <c r="N61">
        <v>114.4</v>
      </c>
      <c r="O61">
        <v>124.7</v>
      </c>
      <c r="P61">
        <v>128.9</v>
      </c>
      <c r="Q61">
        <v>123</v>
      </c>
      <c r="R61">
        <v>118.6</v>
      </c>
      <c r="S61">
        <v>114.1</v>
      </c>
      <c r="T61">
        <v>117.9</v>
      </c>
      <c r="U61" t="s">
        <v>64</v>
      </c>
      <c r="V61">
        <v>111.8</v>
      </c>
      <c r="W61">
        <v>115.3</v>
      </c>
      <c r="X61">
        <v>112.2</v>
      </c>
      <c r="Y61">
        <v>112.5</v>
      </c>
      <c r="Z61">
        <v>112.9</v>
      </c>
      <c r="AA61">
        <v>119.2</v>
      </c>
      <c r="AB61">
        <v>110.5</v>
      </c>
      <c r="AC61">
        <v>113.9</v>
      </c>
      <c r="AD61">
        <v>119.9</v>
      </c>
    </row>
    <row r="62" spans="1:30" x14ac:dyDescent="0.3">
      <c r="A62" t="s">
        <v>35</v>
      </c>
      <c r="B62">
        <v>2014</v>
      </c>
      <c r="C62" t="s">
        <v>46</v>
      </c>
      <c r="D62">
        <v>122.7</v>
      </c>
      <c r="E62">
        <v>124.4</v>
      </c>
      <c r="F62">
        <v>117.3</v>
      </c>
      <c r="G62">
        <v>122</v>
      </c>
      <c r="H62">
        <v>108</v>
      </c>
      <c r="I62">
        <v>131.1</v>
      </c>
      <c r="J62">
        <v>168.2</v>
      </c>
      <c r="K62">
        <v>114.5</v>
      </c>
      <c r="L62">
        <v>104.3</v>
      </c>
      <c r="M62">
        <v>117.1</v>
      </c>
      <c r="N62">
        <v>115.2</v>
      </c>
      <c r="O62">
        <v>123.1</v>
      </c>
      <c r="P62">
        <v>126.6</v>
      </c>
      <c r="Q62">
        <v>119.9</v>
      </c>
      <c r="R62">
        <v>120</v>
      </c>
      <c r="S62">
        <v>116.8</v>
      </c>
      <c r="T62">
        <v>119.6</v>
      </c>
      <c r="U62" t="s">
        <v>64</v>
      </c>
      <c r="V62">
        <v>114</v>
      </c>
      <c r="W62">
        <v>115.6</v>
      </c>
      <c r="X62">
        <v>113.3</v>
      </c>
      <c r="Y62">
        <v>112.8</v>
      </c>
      <c r="Z62">
        <v>112.6</v>
      </c>
      <c r="AA62">
        <v>118</v>
      </c>
      <c r="AB62">
        <v>109.9</v>
      </c>
      <c r="AC62">
        <v>113.7</v>
      </c>
      <c r="AD62">
        <v>120.3</v>
      </c>
    </row>
    <row r="63" spans="1:30" x14ac:dyDescent="0.3">
      <c r="A63" t="s">
        <v>30</v>
      </c>
      <c r="B63">
        <v>2014</v>
      </c>
      <c r="C63" t="s">
        <v>48</v>
      </c>
      <c r="D63">
        <v>122.3</v>
      </c>
      <c r="E63">
        <v>122.4</v>
      </c>
      <c r="F63">
        <v>117.8</v>
      </c>
      <c r="G63">
        <v>122.7</v>
      </c>
      <c r="H63">
        <v>110.4</v>
      </c>
      <c r="I63">
        <v>129.80000000000001</v>
      </c>
      <c r="J63">
        <v>158.80000000000001</v>
      </c>
      <c r="K63">
        <v>115</v>
      </c>
      <c r="L63">
        <v>104.7</v>
      </c>
      <c r="M63">
        <v>114.9</v>
      </c>
      <c r="N63">
        <v>116.5</v>
      </c>
      <c r="O63">
        <v>122.6</v>
      </c>
      <c r="P63">
        <v>125.3</v>
      </c>
      <c r="Q63">
        <v>119.5</v>
      </c>
      <c r="R63">
        <v>121.7</v>
      </c>
      <c r="S63">
        <v>119.2</v>
      </c>
      <c r="T63">
        <v>121.3</v>
      </c>
      <c r="U63" t="s">
        <v>32</v>
      </c>
      <c r="V63">
        <v>115.8</v>
      </c>
      <c r="W63">
        <v>116.7</v>
      </c>
      <c r="X63">
        <v>114.5</v>
      </c>
      <c r="Y63">
        <v>112.8</v>
      </c>
      <c r="Z63">
        <v>112.6</v>
      </c>
      <c r="AA63">
        <v>116.6</v>
      </c>
      <c r="AB63">
        <v>109.1</v>
      </c>
      <c r="AC63">
        <v>113.7</v>
      </c>
      <c r="AD63">
        <v>120.9</v>
      </c>
    </row>
    <row r="64" spans="1:30" x14ac:dyDescent="0.3">
      <c r="A64" t="s">
        <v>33</v>
      </c>
      <c r="B64">
        <v>2014</v>
      </c>
      <c r="C64" t="s">
        <v>48</v>
      </c>
      <c r="D64">
        <v>124.2</v>
      </c>
      <c r="E64">
        <v>125.4</v>
      </c>
      <c r="F64">
        <v>116.4</v>
      </c>
      <c r="G64">
        <v>122.7</v>
      </c>
      <c r="H64">
        <v>103.5</v>
      </c>
      <c r="I64">
        <v>124.5</v>
      </c>
      <c r="J64">
        <v>168.6</v>
      </c>
      <c r="K64">
        <v>116.9</v>
      </c>
      <c r="L64">
        <v>101.9</v>
      </c>
      <c r="M64">
        <v>122.9</v>
      </c>
      <c r="N64">
        <v>114.8</v>
      </c>
      <c r="O64">
        <v>125.2</v>
      </c>
      <c r="P64">
        <v>126.7</v>
      </c>
      <c r="Q64">
        <v>124.3</v>
      </c>
      <c r="R64">
        <v>119.2</v>
      </c>
      <c r="S64">
        <v>114.5</v>
      </c>
      <c r="T64">
        <v>118.4</v>
      </c>
      <c r="U64" t="s">
        <v>65</v>
      </c>
      <c r="V64">
        <v>111.8</v>
      </c>
      <c r="W64">
        <v>115.5</v>
      </c>
      <c r="X64">
        <v>112.3</v>
      </c>
      <c r="Y64">
        <v>111.2</v>
      </c>
      <c r="Z64">
        <v>113.4</v>
      </c>
      <c r="AA64">
        <v>120</v>
      </c>
      <c r="AB64">
        <v>110</v>
      </c>
      <c r="AC64">
        <v>113.6</v>
      </c>
      <c r="AD64">
        <v>119.2</v>
      </c>
    </row>
    <row r="65" spans="1:30" x14ac:dyDescent="0.3">
      <c r="A65" t="s">
        <v>35</v>
      </c>
      <c r="B65">
        <v>2014</v>
      </c>
      <c r="C65" t="s">
        <v>48</v>
      </c>
      <c r="D65">
        <v>122.9</v>
      </c>
      <c r="E65">
        <v>123.5</v>
      </c>
      <c r="F65">
        <v>117.3</v>
      </c>
      <c r="G65">
        <v>122.7</v>
      </c>
      <c r="H65">
        <v>107.9</v>
      </c>
      <c r="I65">
        <v>127.3</v>
      </c>
      <c r="J65">
        <v>162.1</v>
      </c>
      <c r="K65">
        <v>115.6</v>
      </c>
      <c r="L65">
        <v>103.8</v>
      </c>
      <c r="M65">
        <v>117.6</v>
      </c>
      <c r="N65">
        <v>115.8</v>
      </c>
      <c r="O65">
        <v>123.8</v>
      </c>
      <c r="P65">
        <v>125.8</v>
      </c>
      <c r="Q65">
        <v>120.8</v>
      </c>
      <c r="R65">
        <v>120.7</v>
      </c>
      <c r="S65">
        <v>117.2</v>
      </c>
      <c r="T65">
        <v>120.1</v>
      </c>
      <c r="U65" t="s">
        <v>65</v>
      </c>
      <c r="V65">
        <v>114.3</v>
      </c>
      <c r="W65">
        <v>116.1</v>
      </c>
      <c r="X65">
        <v>113.7</v>
      </c>
      <c r="Y65">
        <v>112</v>
      </c>
      <c r="Z65">
        <v>113.1</v>
      </c>
      <c r="AA65">
        <v>118.6</v>
      </c>
      <c r="AB65">
        <v>109.5</v>
      </c>
      <c r="AC65">
        <v>113.7</v>
      </c>
      <c r="AD65">
        <v>120.1</v>
      </c>
    </row>
    <row r="66" spans="1:30" x14ac:dyDescent="0.3">
      <c r="A66" t="s">
        <v>30</v>
      </c>
      <c r="B66">
        <v>2014</v>
      </c>
      <c r="C66" t="s">
        <v>50</v>
      </c>
      <c r="D66">
        <v>122.6</v>
      </c>
      <c r="E66">
        <v>122.5</v>
      </c>
      <c r="F66">
        <v>118.3</v>
      </c>
      <c r="G66">
        <v>123.2</v>
      </c>
      <c r="H66">
        <v>110.5</v>
      </c>
      <c r="I66">
        <v>128.9</v>
      </c>
      <c r="J66">
        <v>155.30000000000001</v>
      </c>
      <c r="K66">
        <v>115.5</v>
      </c>
      <c r="L66">
        <v>104</v>
      </c>
      <c r="M66">
        <v>115.3</v>
      </c>
      <c r="N66">
        <v>116.8</v>
      </c>
      <c r="O66">
        <v>123.2</v>
      </c>
      <c r="P66">
        <v>125.1</v>
      </c>
      <c r="Q66">
        <v>120</v>
      </c>
      <c r="R66">
        <v>122.7</v>
      </c>
      <c r="S66">
        <v>120.3</v>
      </c>
      <c r="T66">
        <v>122.3</v>
      </c>
      <c r="U66" t="s">
        <v>32</v>
      </c>
      <c r="V66">
        <v>116.4</v>
      </c>
      <c r="W66">
        <v>117.5</v>
      </c>
      <c r="X66">
        <v>115.3</v>
      </c>
      <c r="Y66">
        <v>112.6</v>
      </c>
      <c r="Z66">
        <v>113</v>
      </c>
      <c r="AA66">
        <v>116.9</v>
      </c>
      <c r="AB66">
        <v>109.3</v>
      </c>
      <c r="AC66">
        <v>114</v>
      </c>
      <c r="AD66">
        <v>121</v>
      </c>
    </row>
    <row r="67" spans="1:30" x14ac:dyDescent="0.3">
      <c r="A67" t="s">
        <v>33</v>
      </c>
      <c r="B67">
        <v>2014</v>
      </c>
      <c r="C67" t="s">
        <v>50</v>
      </c>
      <c r="D67">
        <v>124.6</v>
      </c>
      <c r="E67">
        <v>126.1</v>
      </c>
      <c r="F67">
        <v>117.8</v>
      </c>
      <c r="G67">
        <v>123.1</v>
      </c>
      <c r="H67">
        <v>103.5</v>
      </c>
      <c r="I67">
        <v>123.5</v>
      </c>
      <c r="J67">
        <v>159.6</v>
      </c>
      <c r="K67">
        <v>117.4</v>
      </c>
      <c r="L67">
        <v>101.2</v>
      </c>
      <c r="M67">
        <v>123.8</v>
      </c>
      <c r="N67">
        <v>115.2</v>
      </c>
      <c r="O67">
        <v>125.9</v>
      </c>
      <c r="P67">
        <v>125.8</v>
      </c>
      <c r="Q67">
        <v>124.3</v>
      </c>
      <c r="R67">
        <v>119.6</v>
      </c>
      <c r="S67">
        <v>114.9</v>
      </c>
      <c r="T67">
        <v>118.9</v>
      </c>
      <c r="U67" t="s">
        <v>66</v>
      </c>
      <c r="V67">
        <v>112</v>
      </c>
      <c r="W67">
        <v>115.8</v>
      </c>
      <c r="X67">
        <v>112.6</v>
      </c>
      <c r="Y67">
        <v>111</v>
      </c>
      <c r="Z67">
        <v>113.6</v>
      </c>
      <c r="AA67">
        <v>120.2</v>
      </c>
      <c r="AB67">
        <v>110.1</v>
      </c>
      <c r="AC67">
        <v>113.7</v>
      </c>
      <c r="AD67">
        <v>119.1</v>
      </c>
    </row>
    <row r="68" spans="1:30" x14ac:dyDescent="0.3">
      <c r="A68" t="s">
        <v>35</v>
      </c>
      <c r="B68">
        <v>2014</v>
      </c>
      <c r="C68" t="s">
        <v>50</v>
      </c>
      <c r="D68">
        <v>123.2</v>
      </c>
      <c r="E68">
        <v>123.8</v>
      </c>
      <c r="F68">
        <v>118.1</v>
      </c>
      <c r="G68">
        <v>123.2</v>
      </c>
      <c r="H68">
        <v>107.9</v>
      </c>
      <c r="I68">
        <v>126.4</v>
      </c>
      <c r="J68">
        <v>156.80000000000001</v>
      </c>
      <c r="K68">
        <v>116.1</v>
      </c>
      <c r="L68">
        <v>103.1</v>
      </c>
      <c r="M68">
        <v>118.1</v>
      </c>
      <c r="N68">
        <v>116.1</v>
      </c>
      <c r="O68">
        <v>124.5</v>
      </c>
      <c r="P68">
        <v>125.4</v>
      </c>
      <c r="Q68">
        <v>121.1</v>
      </c>
      <c r="R68">
        <v>121.5</v>
      </c>
      <c r="S68">
        <v>118.1</v>
      </c>
      <c r="T68">
        <v>121</v>
      </c>
      <c r="U68" t="s">
        <v>66</v>
      </c>
      <c r="V68">
        <v>114.7</v>
      </c>
      <c r="W68">
        <v>116.7</v>
      </c>
      <c r="X68">
        <v>114.3</v>
      </c>
      <c r="Y68">
        <v>111.8</v>
      </c>
      <c r="Z68">
        <v>113.3</v>
      </c>
      <c r="AA68">
        <v>118.8</v>
      </c>
      <c r="AB68">
        <v>109.6</v>
      </c>
      <c r="AC68">
        <v>113.9</v>
      </c>
      <c r="AD68">
        <v>120.1</v>
      </c>
    </row>
    <row r="69" spans="1:30" x14ac:dyDescent="0.3">
      <c r="A69" t="s">
        <v>30</v>
      </c>
      <c r="B69">
        <v>2014</v>
      </c>
      <c r="C69" t="s">
        <v>53</v>
      </c>
      <c r="D69">
        <v>122.7</v>
      </c>
      <c r="E69">
        <v>122.6</v>
      </c>
      <c r="F69">
        <v>119.9</v>
      </c>
      <c r="G69">
        <v>124</v>
      </c>
      <c r="H69">
        <v>110.5</v>
      </c>
      <c r="I69">
        <v>128.80000000000001</v>
      </c>
      <c r="J69">
        <v>152</v>
      </c>
      <c r="K69">
        <v>116.2</v>
      </c>
      <c r="L69">
        <v>103.3</v>
      </c>
      <c r="M69">
        <v>115.8</v>
      </c>
      <c r="N69">
        <v>116.8</v>
      </c>
      <c r="O69">
        <v>124.5</v>
      </c>
      <c r="P69">
        <v>124.9</v>
      </c>
      <c r="Q69">
        <v>120.8</v>
      </c>
      <c r="R69">
        <v>123.3</v>
      </c>
      <c r="S69">
        <v>120.5</v>
      </c>
      <c r="T69">
        <v>122.9</v>
      </c>
      <c r="U69" t="s">
        <v>32</v>
      </c>
      <c r="V69">
        <v>117.3</v>
      </c>
      <c r="W69">
        <v>118.1</v>
      </c>
      <c r="X69">
        <v>115.9</v>
      </c>
      <c r="Y69">
        <v>112</v>
      </c>
      <c r="Z69">
        <v>113.3</v>
      </c>
      <c r="AA69">
        <v>117.2</v>
      </c>
      <c r="AB69">
        <v>108.8</v>
      </c>
      <c r="AC69">
        <v>114.1</v>
      </c>
      <c r="AD69">
        <v>121.1</v>
      </c>
    </row>
    <row r="70" spans="1:30" x14ac:dyDescent="0.3">
      <c r="A70" t="s">
        <v>33</v>
      </c>
      <c r="B70">
        <v>2014</v>
      </c>
      <c r="C70" t="s">
        <v>53</v>
      </c>
      <c r="D70">
        <v>124.5</v>
      </c>
      <c r="E70">
        <v>125.6</v>
      </c>
      <c r="F70">
        <v>122.7</v>
      </c>
      <c r="G70">
        <v>124.6</v>
      </c>
      <c r="H70">
        <v>103.2</v>
      </c>
      <c r="I70">
        <v>122.2</v>
      </c>
      <c r="J70">
        <v>153.19999999999999</v>
      </c>
      <c r="K70">
        <v>119.3</v>
      </c>
      <c r="L70">
        <v>99.8</v>
      </c>
      <c r="M70">
        <v>124.6</v>
      </c>
      <c r="N70">
        <v>115.8</v>
      </c>
      <c r="O70">
        <v>126.9</v>
      </c>
      <c r="P70">
        <v>125.4</v>
      </c>
      <c r="Q70">
        <v>125.8</v>
      </c>
      <c r="R70">
        <v>120.3</v>
      </c>
      <c r="S70">
        <v>115.4</v>
      </c>
      <c r="T70">
        <v>119.5</v>
      </c>
      <c r="U70" t="s">
        <v>67</v>
      </c>
      <c r="V70">
        <v>112.6</v>
      </c>
      <c r="W70">
        <v>116.4</v>
      </c>
      <c r="X70">
        <v>113</v>
      </c>
      <c r="Y70">
        <v>109.7</v>
      </c>
      <c r="Z70">
        <v>114</v>
      </c>
      <c r="AA70">
        <v>120.3</v>
      </c>
      <c r="AB70">
        <v>109.6</v>
      </c>
      <c r="AC70">
        <v>113.4</v>
      </c>
      <c r="AD70">
        <v>119</v>
      </c>
    </row>
    <row r="71" spans="1:30" x14ac:dyDescent="0.3">
      <c r="A71" t="s">
        <v>35</v>
      </c>
      <c r="B71">
        <v>2014</v>
      </c>
      <c r="C71" t="s">
        <v>53</v>
      </c>
      <c r="D71">
        <v>123.3</v>
      </c>
      <c r="E71">
        <v>123.7</v>
      </c>
      <c r="F71">
        <v>121</v>
      </c>
      <c r="G71">
        <v>124.2</v>
      </c>
      <c r="H71">
        <v>107.8</v>
      </c>
      <c r="I71">
        <v>125.7</v>
      </c>
      <c r="J71">
        <v>152.4</v>
      </c>
      <c r="K71">
        <v>117.2</v>
      </c>
      <c r="L71">
        <v>102.1</v>
      </c>
      <c r="M71">
        <v>118.7</v>
      </c>
      <c r="N71">
        <v>116.4</v>
      </c>
      <c r="O71">
        <v>125.6</v>
      </c>
      <c r="P71">
        <v>125.1</v>
      </c>
      <c r="Q71">
        <v>122.1</v>
      </c>
      <c r="R71">
        <v>122.1</v>
      </c>
      <c r="S71">
        <v>118.4</v>
      </c>
      <c r="T71">
        <v>121.6</v>
      </c>
      <c r="U71" t="s">
        <v>67</v>
      </c>
      <c r="V71">
        <v>115.5</v>
      </c>
      <c r="W71">
        <v>117.3</v>
      </c>
      <c r="X71">
        <v>114.8</v>
      </c>
      <c r="Y71">
        <v>110.8</v>
      </c>
      <c r="Z71">
        <v>113.7</v>
      </c>
      <c r="AA71">
        <v>119</v>
      </c>
      <c r="AB71">
        <v>109.1</v>
      </c>
      <c r="AC71">
        <v>113.8</v>
      </c>
      <c r="AD71">
        <v>120.1</v>
      </c>
    </row>
    <row r="72" spans="1:30" x14ac:dyDescent="0.3">
      <c r="A72" t="s">
        <v>30</v>
      </c>
      <c r="B72">
        <v>2014</v>
      </c>
      <c r="C72" t="s">
        <v>55</v>
      </c>
      <c r="D72">
        <v>122.4</v>
      </c>
      <c r="E72">
        <v>122.4</v>
      </c>
      <c r="F72">
        <v>121.8</v>
      </c>
      <c r="G72">
        <v>124.2</v>
      </c>
      <c r="H72">
        <v>110.2</v>
      </c>
      <c r="I72">
        <v>128.6</v>
      </c>
      <c r="J72">
        <v>140.30000000000001</v>
      </c>
      <c r="K72">
        <v>116.3</v>
      </c>
      <c r="L72">
        <v>102</v>
      </c>
      <c r="M72">
        <v>116</v>
      </c>
      <c r="N72">
        <v>117.3</v>
      </c>
      <c r="O72">
        <v>124.8</v>
      </c>
      <c r="P72">
        <v>123.3</v>
      </c>
      <c r="Q72">
        <v>121.7</v>
      </c>
      <c r="R72">
        <v>123.8</v>
      </c>
      <c r="S72">
        <v>120.6</v>
      </c>
      <c r="T72">
        <v>123.3</v>
      </c>
      <c r="U72" t="s">
        <v>32</v>
      </c>
      <c r="V72">
        <v>117.4</v>
      </c>
      <c r="W72">
        <v>118.2</v>
      </c>
      <c r="X72">
        <v>116.2</v>
      </c>
      <c r="Y72">
        <v>111.5</v>
      </c>
      <c r="Z72">
        <v>113.3</v>
      </c>
      <c r="AA72">
        <v>117.7</v>
      </c>
      <c r="AB72">
        <v>109.4</v>
      </c>
      <c r="AC72">
        <v>114.2</v>
      </c>
      <c r="AD72">
        <v>120.3</v>
      </c>
    </row>
    <row r="73" spans="1:30" x14ac:dyDescent="0.3">
      <c r="A73" t="s">
        <v>33</v>
      </c>
      <c r="B73">
        <v>2014</v>
      </c>
      <c r="C73" t="s">
        <v>55</v>
      </c>
      <c r="D73">
        <v>124</v>
      </c>
      <c r="E73">
        <v>124.7</v>
      </c>
      <c r="F73">
        <v>126.3</v>
      </c>
      <c r="G73">
        <v>124.9</v>
      </c>
      <c r="H73">
        <v>103</v>
      </c>
      <c r="I73">
        <v>122.3</v>
      </c>
      <c r="J73">
        <v>141</v>
      </c>
      <c r="K73">
        <v>120.1</v>
      </c>
      <c r="L73">
        <v>97.8</v>
      </c>
      <c r="M73">
        <v>125.4</v>
      </c>
      <c r="N73">
        <v>116.1</v>
      </c>
      <c r="O73">
        <v>127.6</v>
      </c>
      <c r="P73">
        <v>124</v>
      </c>
      <c r="Q73">
        <v>126.4</v>
      </c>
      <c r="R73">
        <v>120.7</v>
      </c>
      <c r="S73">
        <v>115.8</v>
      </c>
      <c r="T73">
        <v>120</v>
      </c>
      <c r="U73" t="s">
        <v>68</v>
      </c>
      <c r="V73">
        <v>113</v>
      </c>
      <c r="W73">
        <v>116.8</v>
      </c>
      <c r="X73">
        <v>113.2</v>
      </c>
      <c r="Y73">
        <v>108.8</v>
      </c>
      <c r="Z73">
        <v>114.3</v>
      </c>
      <c r="AA73">
        <v>120.7</v>
      </c>
      <c r="AB73">
        <v>110.4</v>
      </c>
      <c r="AC73">
        <v>113.4</v>
      </c>
      <c r="AD73">
        <v>118.4</v>
      </c>
    </row>
    <row r="74" spans="1:30" x14ac:dyDescent="0.3">
      <c r="A74" t="s">
        <v>35</v>
      </c>
      <c r="B74">
        <v>2014</v>
      </c>
      <c r="C74" t="s">
        <v>55</v>
      </c>
      <c r="D74">
        <v>122.9</v>
      </c>
      <c r="E74">
        <v>123.2</v>
      </c>
      <c r="F74">
        <v>123.5</v>
      </c>
      <c r="G74">
        <v>124.5</v>
      </c>
      <c r="H74">
        <v>107.6</v>
      </c>
      <c r="I74">
        <v>125.7</v>
      </c>
      <c r="J74">
        <v>140.5</v>
      </c>
      <c r="K74">
        <v>117.6</v>
      </c>
      <c r="L74">
        <v>100.6</v>
      </c>
      <c r="M74">
        <v>119.1</v>
      </c>
      <c r="N74">
        <v>116.8</v>
      </c>
      <c r="O74">
        <v>126.1</v>
      </c>
      <c r="P74">
        <v>123.6</v>
      </c>
      <c r="Q74">
        <v>123</v>
      </c>
      <c r="R74">
        <v>122.6</v>
      </c>
      <c r="S74">
        <v>118.6</v>
      </c>
      <c r="T74">
        <v>122</v>
      </c>
      <c r="U74" t="s">
        <v>68</v>
      </c>
      <c r="V74">
        <v>115.7</v>
      </c>
      <c r="W74">
        <v>117.5</v>
      </c>
      <c r="X74">
        <v>115.1</v>
      </c>
      <c r="Y74">
        <v>110.1</v>
      </c>
      <c r="Z74">
        <v>113.9</v>
      </c>
      <c r="AA74">
        <v>119.5</v>
      </c>
      <c r="AB74">
        <v>109.8</v>
      </c>
      <c r="AC74">
        <v>113.8</v>
      </c>
      <c r="AD74">
        <v>119.4</v>
      </c>
    </row>
    <row r="75" spans="1:30" x14ac:dyDescent="0.3">
      <c r="A75" t="s">
        <v>30</v>
      </c>
      <c r="B75">
        <v>2015</v>
      </c>
      <c r="C75" t="s">
        <v>31</v>
      </c>
      <c r="D75">
        <v>123.1</v>
      </c>
      <c r="E75">
        <v>123.1</v>
      </c>
      <c r="F75">
        <v>122.1</v>
      </c>
      <c r="G75">
        <v>124.9</v>
      </c>
      <c r="H75">
        <v>111</v>
      </c>
      <c r="I75">
        <v>130.4</v>
      </c>
      <c r="J75">
        <v>132.30000000000001</v>
      </c>
      <c r="K75">
        <v>117.2</v>
      </c>
      <c r="L75">
        <v>100.5</v>
      </c>
      <c r="M75">
        <v>117.2</v>
      </c>
      <c r="N75">
        <v>117.9</v>
      </c>
      <c r="O75">
        <v>125.6</v>
      </c>
      <c r="P75">
        <v>122.8</v>
      </c>
      <c r="Q75">
        <v>122.7</v>
      </c>
      <c r="R75">
        <v>124.4</v>
      </c>
      <c r="S75">
        <v>121.6</v>
      </c>
      <c r="T75">
        <v>124</v>
      </c>
      <c r="U75" t="s">
        <v>32</v>
      </c>
      <c r="V75">
        <v>118.4</v>
      </c>
      <c r="W75">
        <v>118.9</v>
      </c>
      <c r="X75">
        <v>116.6</v>
      </c>
      <c r="Y75">
        <v>111</v>
      </c>
      <c r="Z75">
        <v>114</v>
      </c>
      <c r="AA75">
        <v>118.2</v>
      </c>
      <c r="AB75">
        <v>110.2</v>
      </c>
      <c r="AC75">
        <v>114.5</v>
      </c>
      <c r="AD75">
        <v>120.3</v>
      </c>
    </row>
    <row r="76" spans="1:30" x14ac:dyDescent="0.3">
      <c r="A76" t="s">
        <v>33</v>
      </c>
      <c r="B76">
        <v>2015</v>
      </c>
      <c r="C76" t="s">
        <v>31</v>
      </c>
      <c r="D76">
        <v>124</v>
      </c>
      <c r="E76">
        <v>125.5</v>
      </c>
      <c r="F76">
        <v>126.6</v>
      </c>
      <c r="G76">
        <v>125.2</v>
      </c>
      <c r="H76">
        <v>104.3</v>
      </c>
      <c r="I76">
        <v>121.3</v>
      </c>
      <c r="J76">
        <v>134.4</v>
      </c>
      <c r="K76">
        <v>122.9</v>
      </c>
      <c r="L76">
        <v>96.1</v>
      </c>
      <c r="M76">
        <v>126.6</v>
      </c>
      <c r="N76">
        <v>116.5</v>
      </c>
      <c r="O76">
        <v>128</v>
      </c>
      <c r="P76">
        <v>123.5</v>
      </c>
      <c r="Q76">
        <v>127.4</v>
      </c>
      <c r="R76">
        <v>121</v>
      </c>
      <c r="S76">
        <v>116.1</v>
      </c>
      <c r="T76">
        <v>120.2</v>
      </c>
      <c r="U76" t="s">
        <v>69</v>
      </c>
      <c r="V76">
        <v>113.4</v>
      </c>
      <c r="W76">
        <v>117.2</v>
      </c>
      <c r="X76">
        <v>113.7</v>
      </c>
      <c r="Y76">
        <v>107.9</v>
      </c>
      <c r="Z76">
        <v>114.6</v>
      </c>
      <c r="AA76">
        <v>120.8</v>
      </c>
      <c r="AB76">
        <v>111.4</v>
      </c>
      <c r="AC76">
        <v>113.4</v>
      </c>
      <c r="AD76">
        <v>118.5</v>
      </c>
    </row>
    <row r="77" spans="1:30" x14ac:dyDescent="0.3">
      <c r="A77" t="s">
        <v>35</v>
      </c>
      <c r="B77">
        <v>2015</v>
      </c>
      <c r="C77" t="s">
        <v>31</v>
      </c>
      <c r="D77">
        <v>123.4</v>
      </c>
      <c r="E77">
        <v>123.9</v>
      </c>
      <c r="F77">
        <v>123.8</v>
      </c>
      <c r="G77">
        <v>125</v>
      </c>
      <c r="H77">
        <v>108.5</v>
      </c>
      <c r="I77">
        <v>126.2</v>
      </c>
      <c r="J77">
        <v>133</v>
      </c>
      <c r="K77">
        <v>119.1</v>
      </c>
      <c r="L77">
        <v>99</v>
      </c>
      <c r="M77">
        <v>120.3</v>
      </c>
      <c r="N77">
        <v>117.3</v>
      </c>
      <c r="O77">
        <v>126.7</v>
      </c>
      <c r="P77">
        <v>123.1</v>
      </c>
      <c r="Q77">
        <v>124</v>
      </c>
      <c r="R77">
        <v>123.1</v>
      </c>
      <c r="S77">
        <v>119.3</v>
      </c>
      <c r="T77">
        <v>122.5</v>
      </c>
      <c r="U77" t="s">
        <v>69</v>
      </c>
      <c r="V77">
        <v>116.5</v>
      </c>
      <c r="W77">
        <v>118.1</v>
      </c>
      <c r="X77">
        <v>115.5</v>
      </c>
      <c r="Y77">
        <v>109.4</v>
      </c>
      <c r="Z77">
        <v>114.3</v>
      </c>
      <c r="AA77">
        <v>119.7</v>
      </c>
      <c r="AB77">
        <v>110.7</v>
      </c>
      <c r="AC77">
        <v>114</v>
      </c>
      <c r="AD77">
        <v>119.5</v>
      </c>
    </row>
    <row r="78" spans="1:30" x14ac:dyDescent="0.3">
      <c r="A78" t="s">
        <v>30</v>
      </c>
      <c r="B78">
        <v>2015</v>
      </c>
      <c r="C78" t="s">
        <v>36</v>
      </c>
      <c r="D78">
        <v>123.4</v>
      </c>
      <c r="E78">
        <v>124.4</v>
      </c>
      <c r="F78">
        <v>122.1</v>
      </c>
      <c r="G78">
        <v>125.8</v>
      </c>
      <c r="H78">
        <v>111.5</v>
      </c>
      <c r="I78">
        <v>129.4</v>
      </c>
      <c r="J78">
        <v>128.19999999999999</v>
      </c>
      <c r="K78">
        <v>118.8</v>
      </c>
      <c r="L78">
        <v>100</v>
      </c>
      <c r="M78">
        <v>118.6</v>
      </c>
      <c r="N78">
        <v>118.8</v>
      </c>
      <c r="O78">
        <v>126.8</v>
      </c>
      <c r="P78">
        <v>122.8</v>
      </c>
      <c r="Q78">
        <v>124.2</v>
      </c>
      <c r="R78">
        <v>125.4</v>
      </c>
      <c r="S78">
        <v>122.7</v>
      </c>
      <c r="T78">
        <v>125</v>
      </c>
      <c r="U78" t="s">
        <v>32</v>
      </c>
      <c r="V78">
        <v>120</v>
      </c>
      <c r="W78">
        <v>119.6</v>
      </c>
      <c r="X78">
        <v>117.7</v>
      </c>
      <c r="Y78">
        <v>110.9</v>
      </c>
      <c r="Z78">
        <v>114.8</v>
      </c>
      <c r="AA78">
        <v>118.7</v>
      </c>
      <c r="AB78">
        <v>110.8</v>
      </c>
      <c r="AC78">
        <v>115</v>
      </c>
      <c r="AD78">
        <v>120.6</v>
      </c>
    </row>
    <row r="79" spans="1:30" x14ac:dyDescent="0.3">
      <c r="A79" t="s">
        <v>33</v>
      </c>
      <c r="B79">
        <v>2015</v>
      </c>
      <c r="C79" t="s">
        <v>36</v>
      </c>
      <c r="D79">
        <v>124.3</v>
      </c>
      <c r="E79">
        <v>126.5</v>
      </c>
      <c r="F79">
        <v>119.5</v>
      </c>
      <c r="G79">
        <v>125.6</v>
      </c>
      <c r="H79">
        <v>104.9</v>
      </c>
      <c r="I79">
        <v>121.6</v>
      </c>
      <c r="J79">
        <v>131.80000000000001</v>
      </c>
      <c r="K79">
        <v>125.1</v>
      </c>
      <c r="L79">
        <v>95</v>
      </c>
      <c r="M79">
        <v>127.7</v>
      </c>
      <c r="N79">
        <v>116.8</v>
      </c>
      <c r="O79">
        <v>128.6</v>
      </c>
      <c r="P79">
        <v>123.7</v>
      </c>
      <c r="Q79">
        <v>128.1</v>
      </c>
      <c r="R79">
        <v>121.3</v>
      </c>
      <c r="S79">
        <v>116.5</v>
      </c>
      <c r="T79">
        <v>120.6</v>
      </c>
      <c r="U79" t="s">
        <v>70</v>
      </c>
      <c r="V79">
        <v>114</v>
      </c>
      <c r="W79">
        <v>117.7</v>
      </c>
      <c r="X79">
        <v>114.1</v>
      </c>
      <c r="Y79">
        <v>106.8</v>
      </c>
      <c r="Z79">
        <v>114.9</v>
      </c>
      <c r="AA79">
        <v>120.4</v>
      </c>
      <c r="AB79">
        <v>111.7</v>
      </c>
      <c r="AC79">
        <v>113.2</v>
      </c>
      <c r="AD79">
        <v>118.7</v>
      </c>
    </row>
    <row r="80" spans="1:30" x14ac:dyDescent="0.3">
      <c r="A80" t="s">
        <v>35</v>
      </c>
      <c r="B80">
        <v>2015</v>
      </c>
      <c r="C80" t="s">
        <v>36</v>
      </c>
      <c r="D80">
        <v>123.7</v>
      </c>
      <c r="E80">
        <v>125.1</v>
      </c>
      <c r="F80">
        <v>121.1</v>
      </c>
      <c r="G80">
        <v>125.7</v>
      </c>
      <c r="H80">
        <v>109.1</v>
      </c>
      <c r="I80">
        <v>125.8</v>
      </c>
      <c r="J80">
        <v>129.4</v>
      </c>
      <c r="K80">
        <v>120.9</v>
      </c>
      <c r="L80">
        <v>98.3</v>
      </c>
      <c r="M80">
        <v>121.6</v>
      </c>
      <c r="N80">
        <v>118</v>
      </c>
      <c r="O80">
        <v>127.6</v>
      </c>
      <c r="P80">
        <v>123.1</v>
      </c>
      <c r="Q80">
        <v>125.2</v>
      </c>
      <c r="R80">
        <v>123.8</v>
      </c>
      <c r="S80">
        <v>120.1</v>
      </c>
      <c r="T80">
        <v>123.3</v>
      </c>
      <c r="U80" t="s">
        <v>70</v>
      </c>
      <c r="V80">
        <v>117.7</v>
      </c>
      <c r="W80">
        <v>118.7</v>
      </c>
      <c r="X80">
        <v>116.3</v>
      </c>
      <c r="Y80">
        <v>108.7</v>
      </c>
      <c r="Z80">
        <v>114.9</v>
      </c>
      <c r="AA80">
        <v>119.7</v>
      </c>
      <c r="AB80">
        <v>111.2</v>
      </c>
      <c r="AC80">
        <v>114.1</v>
      </c>
      <c r="AD80">
        <v>119.7</v>
      </c>
    </row>
    <row r="81" spans="1:30" x14ac:dyDescent="0.3">
      <c r="A81" t="s">
        <v>30</v>
      </c>
      <c r="B81">
        <v>2015</v>
      </c>
      <c r="C81" t="s">
        <v>38</v>
      </c>
      <c r="D81">
        <v>123.3</v>
      </c>
      <c r="E81">
        <v>124.7</v>
      </c>
      <c r="F81">
        <v>118.9</v>
      </c>
      <c r="G81">
        <v>126</v>
      </c>
      <c r="H81">
        <v>111.8</v>
      </c>
      <c r="I81">
        <v>130.9</v>
      </c>
      <c r="J81">
        <v>128</v>
      </c>
      <c r="K81">
        <v>119.9</v>
      </c>
      <c r="L81">
        <v>98.9</v>
      </c>
      <c r="M81">
        <v>119.4</v>
      </c>
      <c r="N81">
        <v>118.9</v>
      </c>
      <c r="O81">
        <v>127.7</v>
      </c>
      <c r="P81">
        <v>123.1</v>
      </c>
      <c r="Q81">
        <v>124.7</v>
      </c>
      <c r="R81">
        <v>126</v>
      </c>
      <c r="S81">
        <v>122.9</v>
      </c>
      <c r="T81">
        <v>125.5</v>
      </c>
      <c r="U81" t="s">
        <v>32</v>
      </c>
      <c r="V81">
        <v>120.6</v>
      </c>
      <c r="W81">
        <v>120.2</v>
      </c>
      <c r="X81">
        <v>118.2</v>
      </c>
      <c r="Y81">
        <v>111.6</v>
      </c>
      <c r="Z81">
        <v>115.5</v>
      </c>
      <c r="AA81">
        <v>119.4</v>
      </c>
      <c r="AB81">
        <v>110.8</v>
      </c>
      <c r="AC81">
        <v>115.5</v>
      </c>
      <c r="AD81">
        <v>121.1</v>
      </c>
    </row>
    <row r="82" spans="1:30" x14ac:dyDescent="0.3">
      <c r="A82" t="s">
        <v>33</v>
      </c>
      <c r="B82">
        <v>2015</v>
      </c>
      <c r="C82" t="s">
        <v>38</v>
      </c>
      <c r="D82">
        <v>124</v>
      </c>
      <c r="E82">
        <v>126.7</v>
      </c>
      <c r="F82">
        <v>113.5</v>
      </c>
      <c r="G82">
        <v>125.9</v>
      </c>
      <c r="H82">
        <v>104.8</v>
      </c>
      <c r="I82">
        <v>123.8</v>
      </c>
      <c r="J82">
        <v>131.4</v>
      </c>
      <c r="K82">
        <v>127.2</v>
      </c>
      <c r="L82">
        <v>93.2</v>
      </c>
      <c r="M82">
        <v>127.4</v>
      </c>
      <c r="N82">
        <v>117</v>
      </c>
      <c r="O82">
        <v>129.19999999999999</v>
      </c>
      <c r="P82">
        <v>123.9</v>
      </c>
      <c r="Q82">
        <v>128.80000000000001</v>
      </c>
      <c r="R82">
        <v>121.7</v>
      </c>
      <c r="S82">
        <v>116.9</v>
      </c>
      <c r="T82">
        <v>120.9</v>
      </c>
      <c r="U82" t="s">
        <v>71</v>
      </c>
      <c r="V82">
        <v>114.4</v>
      </c>
      <c r="W82">
        <v>118</v>
      </c>
      <c r="X82">
        <v>114.3</v>
      </c>
      <c r="Y82">
        <v>108.4</v>
      </c>
      <c r="Z82">
        <v>115.4</v>
      </c>
      <c r="AA82">
        <v>120.6</v>
      </c>
      <c r="AB82">
        <v>111.3</v>
      </c>
      <c r="AC82">
        <v>113.8</v>
      </c>
      <c r="AD82">
        <v>119.1</v>
      </c>
    </row>
    <row r="83" spans="1:30" x14ac:dyDescent="0.3">
      <c r="A83" t="s">
        <v>35</v>
      </c>
      <c r="B83">
        <v>2015</v>
      </c>
      <c r="C83" t="s">
        <v>38</v>
      </c>
      <c r="D83">
        <v>123.5</v>
      </c>
      <c r="E83">
        <v>125.4</v>
      </c>
      <c r="F83">
        <v>116.8</v>
      </c>
      <c r="G83">
        <v>126</v>
      </c>
      <c r="H83">
        <v>109.2</v>
      </c>
      <c r="I83">
        <v>127.6</v>
      </c>
      <c r="J83">
        <v>129.19999999999999</v>
      </c>
      <c r="K83">
        <v>122.4</v>
      </c>
      <c r="L83">
        <v>97</v>
      </c>
      <c r="M83">
        <v>122.1</v>
      </c>
      <c r="N83">
        <v>118.1</v>
      </c>
      <c r="O83">
        <v>128.4</v>
      </c>
      <c r="P83">
        <v>123.4</v>
      </c>
      <c r="Q83">
        <v>125.8</v>
      </c>
      <c r="R83">
        <v>124.3</v>
      </c>
      <c r="S83">
        <v>120.4</v>
      </c>
      <c r="T83">
        <v>123.7</v>
      </c>
      <c r="U83" t="s">
        <v>71</v>
      </c>
      <c r="V83">
        <v>118.3</v>
      </c>
      <c r="W83">
        <v>119.2</v>
      </c>
      <c r="X83">
        <v>116.7</v>
      </c>
      <c r="Y83">
        <v>109.9</v>
      </c>
      <c r="Z83">
        <v>115.4</v>
      </c>
      <c r="AA83">
        <v>120.1</v>
      </c>
      <c r="AB83">
        <v>111</v>
      </c>
      <c r="AC83">
        <v>114.7</v>
      </c>
      <c r="AD83">
        <v>120.2</v>
      </c>
    </row>
    <row r="84" spans="1:30" x14ac:dyDescent="0.3">
      <c r="A84" t="s">
        <v>30</v>
      </c>
      <c r="B84">
        <v>2015</v>
      </c>
      <c r="C84" t="s">
        <v>39</v>
      </c>
      <c r="D84">
        <v>123.3</v>
      </c>
      <c r="E84">
        <v>125.5</v>
      </c>
      <c r="F84">
        <v>117.2</v>
      </c>
      <c r="G84">
        <v>126.8</v>
      </c>
      <c r="H84">
        <v>111.9</v>
      </c>
      <c r="I84">
        <v>134.19999999999999</v>
      </c>
      <c r="J84">
        <v>127.5</v>
      </c>
      <c r="K84">
        <v>121.5</v>
      </c>
      <c r="L84">
        <v>97.8</v>
      </c>
      <c r="M84">
        <v>119.8</v>
      </c>
      <c r="N84">
        <v>119.4</v>
      </c>
      <c r="O84">
        <v>128.69999999999999</v>
      </c>
      <c r="P84">
        <v>123.6</v>
      </c>
      <c r="Q84">
        <v>125.7</v>
      </c>
      <c r="R84">
        <v>126.4</v>
      </c>
      <c r="S84">
        <v>123.3</v>
      </c>
      <c r="T84">
        <v>126</v>
      </c>
      <c r="U84" t="s">
        <v>32</v>
      </c>
      <c r="V84">
        <v>121.2</v>
      </c>
      <c r="W84">
        <v>120.9</v>
      </c>
      <c r="X84">
        <v>118.6</v>
      </c>
      <c r="Y84">
        <v>111.9</v>
      </c>
      <c r="Z84">
        <v>116.2</v>
      </c>
      <c r="AA84">
        <v>119.9</v>
      </c>
      <c r="AB84">
        <v>111.6</v>
      </c>
      <c r="AC84">
        <v>116</v>
      </c>
      <c r="AD84">
        <v>121.5</v>
      </c>
    </row>
    <row r="85" spans="1:30" x14ac:dyDescent="0.3">
      <c r="A85" t="s">
        <v>33</v>
      </c>
      <c r="B85">
        <v>2015</v>
      </c>
      <c r="C85" t="s">
        <v>39</v>
      </c>
      <c r="D85">
        <v>123.8</v>
      </c>
      <c r="E85">
        <v>128.19999999999999</v>
      </c>
      <c r="F85">
        <v>110</v>
      </c>
      <c r="G85">
        <v>126.3</v>
      </c>
      <c r="H85">
        <v>104.5</v>
      </c>
      <c r="I85">
        <v>130.6</v>
      </c>
      <c r="J85">
        <v>130.80000000000001</v>
      </c>
      <c r="K85">
        <v>131.30000000000001</v>
      </c>
      <c r="L85">
        <v>91.6</v>
      </c>
      <c r="M85">
        <v>127.7</v>
      </c>
      <c r="N85">
        <v>117.2</v>
      </c>
      <c r="O85">
        <v>129.5</v>
      </c>
      <c r="P85">
        <v>124.6</v>
      </c>
      <c r="Q85">
        <v>130.1</v>
      </c>
      <c r="R85">
        <v>122.1</v>
      </c>
      <c r="S85">
        <v>117.2</v>
      </c>
      <c r="T85">
        <v>121.3</v>
      </c>
      <c r="U85" t="s">
        <v>72</v>
      </c>
      <c r="V85">
        <v>114.7</v>
      </c>
      <c r="W85">
        <v>118.4</v>
      </c>
      <c r="X85">
        <v>114.6</v>
      </c>
      <c r="Y85">
        <v>108.4</v>
      </c>
      <c r="Z85">
        <v>115.6</v>
      </c>
      <c r="AA85">
        <v>121.7</v>
      </c>
      <c r="AB85">
        <v>111.8</v>
      </c>
      <c r="AC85">
        <v>114.2</v>
      </c>
      <c r="AD85">
        <v>119.7</v>
      </c>
    </row>
    <row r="86" spans="1:30" x14ac:dyDescent="0.3">
      <c r="A86" t="s">
        <v>35</v>
      </c>
      <c r="B86">
        <v>2015</v>
      </c>
      <c r="C86" t="s">
        <v>39</v>
      </c>
      <c r="D86">
        <v>123.5</v>
      </c>
      <c r="E86">
        <v>126.4</v>
      </c>
      <c r="F86">
        <v>114.4</v>
      </c>
      <c r="G86">
        <v>126.6</v>
      </c>
      <c r="H86">
        <v>109.2</v>
      </c>
      <c r="I86">
        <v>132.5</v>
      </c>
      <c r="J86">
        <v>128.6</v>
      </c>
      <c r="K86">
        <v>124.8</v>
      </c>
      <c r="L86">
        <v>95.7</v>
      </c>
      <c r="M86">
        <v>122.4</v>
      </c>
      <c r="N86">
        <v>118.5</v>
      </c>
      <c r="O86">
        <v>129.1</v>
      </c>
      <c r="P86">
        <v>124</v>
      </c>
      <c r="Q86">
        <v>126.9</v>
      </c>
      <c r="R86">
        <v>124.7</v>
      </c>
      <c r="S86">
        <v>120.8</v>
      </c>
      <c r="T86">
        <v>124.1</v>
      </c>
      <c r="U86" t="s">
        <v>72</v>
      </c>
      <c r="V86">
        <v>118.7</v>
      </c>
      <c r="W86">
        <v>119.7</v>
      </c>
      <c r="X86">
        <v>117.1</v>
      </c>
      <c r="Y86">
        <v>110.1</v>
      </c>
      <c r="Z86">
        <v>115.9</v>
      </c>
      <c r="AA86">
        <v>121</v>
      </c>
      <c r="AB86">
        <v>111.7</v>
      </c>
      <c r="AC86">
        <v>115.1</v>
      </c>
      <c r="AD86">
        <v>120.7</v>
      </c>
    </row>
    <row r="87" spans="1:30" x14ac:dyDescent="0.3">
      <c r="A87" t="s">
        <v>30</v>
      </c>
      <c r="B87">
        <v>2015</v>
      </c>
      <c r="C87" t="s">
        <v>41</v>
      </c>
      <c r="D87">
        <v>123.5</v>
      </c>
      <c r="E87">
        <v>127.1</v>
      </c>
      <c r="F87">
        <v>117.3</v>
      </c>
      <c r="G87">
        <v>127.7</v>
      </c>
      <c r="H87">
        <v>112.5</v>
      </c>
      <c r="I87">
        <v>134.1</v>
      </c>
      <c r="J87">
        <v>128.5</v>
      </c>
      <c r="K87">
        <v>124.3</v>
      </c>
      <c r="L87">
        <v>97.6</v>
      </c>
      <c r="M87">
        <v>120.7</v>
      </c>
      <c r="N87">
        <v>120.2</v>
      </c>
      <c r="O87">
        <v>129.80000000000001</v>
      </c>
      <c r="P87">
        <v>124.4</v>
      </c>
      <c r="Q87">
        <v>126.7</v>
      </c>
      <c r="R87">
        <v>127.3</v>
      </c>
      <c r="S87">
        <v>124.1</v>
      </c>
      <c r="T87">
        <v>126.8</v>
      </c>
      <c r="U87" t="s">
        <v>32</v>
      </c>
      <c r="V87">
        <v>121.9</v>
      </c>
      <c r="W87">
        <v>121.5</v>
      </c>
      <c r="X87">
        <v>119.4</v>
      </c>
      <c r="Y87">
        <v>113.3</v>
      </c>
      <c r="Z87">
        <v>116.7</v>
      </c>
      <c r="AA87">
        <v>120.5</v>
      </c>
      <c r="AB87">
        <v>112.3</v>
      </c>
      <c r="AC87">
        <v>116.9</v>
      </c>
      <c r="AD87">
        <v>122.4</v>
      </c>
    </row>
    <row r="88" spans="1:30" x14ac:dyDescent="0.3">
      <c r="A88" t="s">
        <v>33</v>
      </c>
      <c r="B88">
        <v>2015</v>
      </c>
      <c r="C88" t="s">
        <v>41</v>
      </c>
      <c r="D88">
        <v>123.8</v>
      </c>
      <c r="E88">
        <v>129.69999999999999</v>
      </c>
      <c r="F88">
        <v>111.3</v>
      </c>
      <c r="G88">
        <v>126.6</v>
      </c>
      <c r="H88">
        <v>105.2</v>
      </c>
      <c r="I88">
        <v>130.80000000000001</v>
      </c>
      <c r="J88">
        <v>135.6</v>
      </c>
      <c r="K88">
        <v>142.6</v>
      </c>
      <c r="L88">
        <v>90.8</v>
      </c>
      <c r="M88">
        <v>128.80000000000001</v>
      </c>
      <c r="N88">
        <v>117.7</v>
      </c>
      <c r="O88">
        <v>129.9</v>
      </c>
      <c r="P88">
        <v>126.1</v>
      </c>
      <c r="Q88">
        <v>131.30000000000001</v>
      </c>
      <c r="R88">
        <v>122.4</v>
      </c>
      <c r="S88">
        <v>117.4</v>
      </c>
      <c r="T88">
        <v>121.6</v>
      </c>
      <c r="U88" t="s">
        <v>73</v>
      </c>
      <c r="V88">
        <v>114.9</v>
      </c>
      <c r="W88">
        <v>118.7</v>
      </c>
      <c r="X88">
        <v>114.9</v>
      </c>
      <c r="Y88">
        <v>110.8</v>
      </c>
      <c r="Z88">
        <v>116</v>
      </c>
      <c r="AA88">
        <v>122</v>
      </c>
      <c r="AB88">
        <v>112.4</v>
      </c>
      <c r="AC88">
        <v>115.2</v>
      </c>
      <c r="AD88">
        <v>120.7</v>
      </c>
    </row>
    <row r="89" spans="1:30" x14ac:dyDescent="0.3">
      <c r="A89" t="s">
        <v>35</v>
      </c>
      <c r="B89">
        <v>2015</v>
      </c>
      <c r="C89" t="s">
        <v>41</v>
      </c>
      <c r="D89">
        <v>123.6</v>
      </c>
      <c r="E89">
        <v>128</v>
      </c>
      <c r="F89">
        <v>115</v>
      </c>
      <c r="G89">
        <v>127.3</v>
      </c>
      <c r="H89">
        <v>109.8</v>
      </c>
      <c r="I89">
        <v>132.6</v>
      </c>
      <c r="J89">
        <v>130.9</v>
      </c>
      <c r="K89">
        <v>130.5</v>
      </c>
      <c r="L89">
        <v>95.3</v>
      </c>
      <c r="M89">
        <v>123.4</v>
      </c>
      <c r="N89">
        <v>119.2</v>
      </c>
      <c r="O89">
        <v>129.80000000000001</v>
      </c>
      <c r="P89">
        <v>125</v>
      </c>
      <c r="Q89">
        <v>127.9</v>
      </c>
      <c r="R89">
        <v>125.4</v>
      </c>
      <c r="S89">
        <v>121.3</v>
      </c>
      <c r="T89">
        <v>124.7</v>
      </c>
      <c r="U89" t="s">
        <v>73</v>
      </c>
      <c r="V89">
        <v>119.2</v>
      </c>
      <c r="W89">
        <v>120.2</v>
      </c>
      <c r="X89">
        <v>117.7</v>
      </c>
      <c r="Y89">
        <v>112</v>
      </c>
      <c r="Z89">
        <v>116.3</v>
      </c>
      <c r="AA89">
        <v>121.4</v>
      </c>
      <c r="AB89">
        <v>112.3</v>
      </c>
      <c r="AC89">
        <v>116.1</v>
      </c>
      <c r="AD89">
        <v>121.6</v>
      </c>
    </row>
    <row r="90" spans="1:30" x14ac:dyDescent="0.3">
      <c r="A90" t="s">
        <v>30</v>
      </c>
      <c r="B90">
        <v>2015</v>
      </c>
      <c r="C90" t="s">
        <v>42</v>
      </c>
      <c r="D90">
        <v>124.1</v>
      </c>
      <c r="E90">
        <v>130.4</v>
      </c>
      <c r="F90">
        <v>122.1</v>
      </c>
      <c r="G90">
        <v>128.69999999999999</v>
      </c>
      <c r="H90">
        <v>114.1</v>
      </c>
      <c r="I90">
        <v>133.19999999999999</v>
      </c>
      <c r="J90">
        <v>135.19999999999999</v>
      </c>
      <c r="K90">
        <v>131.9</v>
      </c>
      <c r="L90">
        <v>96.3</v>
      </c>
      <c r="M90">
        <v>123</v>
      </c>
      <c r="N90">
        <v>121.1</v>
      </c>
      <c r="O90">
        <v>131.19999999999999</v>
      </c>
      <c r="P90">
        <v>126.6</v>
      </c>
      <c r="Q90">
        <v>128.19999999999999</v>
      </c>
      <c r="R90">
        <v>128.4</v>
      </c>
      <c r="S90">
        <v>125.1</v>
      </c>
      <c r="T90">
        <v>128</v>
      </c>
      <c r="U90" t="s">
        <v>32</v>
      </c>
      <c r="V90">
        <v>122.6</v>
      </c>
      <c r="W90">
        <v>122.8</v>
      </c>
      <c r="X90">
        <v>120.4</v>
      </c>
      <c r="Y90">
        <v>114.2</v>
      </c>
      <c r="Z90">
        <v>117.9</v>
      </c>
      <c r="AA90">
        <v>122</v>
      </c>
      <c r="AB90">
        <v>113</v>
      </c>
      <c r="AC90">
        <v>117.9</v>
      </c>
      <c r="AD90">
        <v>124.1</v>
      </c>
    </row>
    <row r="91" spans="1:30" x14ac:dyDescent="0.3">
      <c r="A91" t="s">
        <v>33</v>
      </c>
      <c r="B91">
        <v>2015</v>
      </c>
      <c r="C91" t="s">
        <v>42</v>
      </c>
      <c r="D91">
        <v>123.6</v>
      </c>
      <c r="E91">
        <v>134.4</v>
      </c>
      <c r="F91">
        <v>120.9</v>
      </c>
      <c r="G91">
        <v>127.3</v>
      </c>
      <c r="H91">
        <v>106</v>
      </c>
      <c r="I91">
        <v>132.30000000000001</v>
      </c>
      <c r="J91">
        <v>146.69999999999999</v>
      </c>
      <c r="K91">
        <v>148.1</v>
      </c>
      <c r="L91">
        <v>89.8</v>
      </c>
      <c r="M91">
        <v>130.5</v>
      </c>
      <c r="N91">
        <v>118</v>
      </c>
      <c r="O91">
        <v>130.5</v>
      </c>
      <c r="P91">
        <v>128.5</v>
      </c>
      <c r="Q91">
        <v>132.1</v>
      </c>
      <c r="R91">
        <v>123.2</v>
      </c>
      <c r="S91">
        <v>117.6</v>
      </c>
      <c r="T91">
        <v>122.3</v>
      </c>
      <c r="U91" t="s">
        <v>74</v>
      </c>
      <c r="V91">
        <v>115.1</v>
      </c>
      <c r="W91">
        <v>119.2</v>
      </c>
      <c r="X91">
        <v>115.4</v>
      </c>
      <c r="Y91">
        <v>111.7</v>
      </c>
      <c r="Z91">
        <v>116.2</v>
      </c>
      <c r="AA91">
        <v>123.8</v>
      </c>
      <c r="AB91">
        <v>112.5</v>
      </c>
      <c r="AC91">
        <v>116</v>
      </c>
      <c r="AD91">
        <v>121.7</v>
      </c>
    </row>
    <row r="92" spans="1:30" x14ac:dyDescent="0.3">
      <c r="A92" t="s">
        <v>35</v>
      </c>
      <c r="B92">
        <v>2015</v>
      </c>
      <c r="C92" t="s">
        <v>42</v>
      </c>
      <c r="D92">
        <v>123.9</v>
      </c>
      <c r="E92">
        <v>131.80000000000001</v>
      </c>
      <c r="F92">
        <v>121.6</v>
      </c>
      <c r="G92">
        <v>128.19999999999999</v>
      </c>
      <c r="H92">
        <v>111.1</v>
      </c>
      <c r="I92">
        <v>132.80000000000001</v>
      </c>
      <c r="J92">
        <v>139.1</v>
      </c>
      <c r="K92">
        <v>137.4</v>
      </c>
      <c r="L92">
        <v>94.1</v>
      </c>
      <c r="M92">
        <v>125.5</v>
      </c>
      <c r="N92">
        <v>119.8</v>
      </c>
      <c r="O92">
        <v>130.9</v>
      </c>
      <c r="P92">
        <v>127.3</v>
      </c>
      <c r="Q92">
        <v>129.19999999999999</v>
      </c>
      <c r="R92">
        <v>126.4</v>
      </c>
      <c r="S92">
        <v>122</v>
      </c>
      <c r="T92">
        <v>125.7</v>
      </c>
      <c r="U92" t="s">
        <v>74</v>
      </c>
      <c r="V92">
        <v>119.8</v>
      </c>
      <c r="W92">
        <v>121.1</v>
      </c>
      <c r="X92">
        <v>118.5</v>
      </c>
      <c r="Y92">
        <v>112.9</v>
      </c>
      <c r="Z92">
        <v>116.9</v>
      </c>
      <c r="AA92">
        <v>123.1</v>
      </c>
      <c r="AB92">
        <v>112.8</v>
      </c>
      <c r="AC92">
        <v>117</v>
      </c>
      <c r="AD92">
        <v>123</v>
      </c>
    </row>
    <row r="93" spans="1:30" x14ac:dyDescent="0.3">
      <c r="A93" t="s">
        <v>30</v>
      </c>
      <c r="B93">
        <v>2015</v>
      </c>
      <c r="C93" t="s">
        <v>44</v>
      </c>
      <c r="D93">
        <v>124</v>
      </c>
      <c r="E93">
        <v>131.5</v>
      </c>
      <c r="F93">
        <v>122</v>
      </c>
      <c r="G93">
        <v>128.69999999999999</v>
      </c>
      <c r="H93">
        <v>113.5</v>
      </c>
      <c r="I93">
        <v>133.30000000000001</v>
      </c>
      <c r="J93">
        <v>140.80000000000001</v>
      </c>
      <c r="K93">
        <v>133.80000000000001</v>
      </c>
      <c r="L93">
        <v>94.1</v>
      </c>
      <c r="M93">
        <v>123.4</v>
      </c>
      <c r="N93">
        <v>121</v>
      </c>
      <c r="O93">
        <v>131.69999999999999</v>
      </c>
      <c r="P93">
        <v>127.5</v>
      </c>
      <c r="Q93">
        <v>129.4</v>
      </c>
      <c r="R93">
        <v>128.80000000000001</v>
      </c>
      <c r="S93">
        <v>125.5</v>
      </c>
      <c r="T93">
        <v>128.30000000000001</v>
      </c>
      <c r="U93" t="s">
        <v>32</v>
      </c>
      <c r="V93">
        <v>123</v>
      </c>
      <c r="W93">
        <v>123</v>
      </c>
      <c r="X93">
        <v>120.8</v>
      </c>
      <c r="Y93">
        <v>114.1</v>
      </c>
      <c r="Z93">
        <v>118</v>
      </c>
      <c r="AA93">
        <v>122.9</v>
      </c>
      <c r="AB93">
        <v>112.7</v>
      </c>
      <c r="AC93">
        <v>118.1</v>
      </c>
      <c r="AD93">
        <v>124.7</v>
      </c>
    </row>
    <row r="94" spans="1:30" x14ac:dyDescent="0.3">
      <c r="A94" t="s">
        <v>33</v>
      </c>
      <c r="B94">
        <v>2015</v>
      </c>
      <c r="C94" t="s">
        <v>44</v>
      </c>
      <c r="D94">
        <v>123.2</v>
      </c>
      <c r="E94">
        <v>134.30000000000001</v>
      </c>
      <c r="F94">
        <v>119.5</v>
      </c>
      <c r="G94">
        <v>127.7</v>
      </c>
      <c r="H94">
        <v>106.3</v>
      </c>
      <c r="I94">
        <v>132.80000000000001</v>
      </c>
      <c r="J94">
        <v>153.5</v>
      </c>
      <c r="K94">
        <v>149.5</v>
      </c>
      <c r="L94">
        <v>85.7</v>
      </c>
      <c r="M94">
        <v>131.5</v>
      </c>
      <c r="N94">
        <v>118.3</v>
      </c>
      <c r="O94">
        <v>131.1</v>
      </c>
      <c r="P94">
        <v>129.5</v>
      </c>
      <c r="Q94">
        <v>133.1</v>
      </c>
      <c r="R94">
        <v>123.5</v>
      </c>
      <c r="S94">
        <v>117.9</v>
      </c>
      <c r="T94">
        <v>122.7</v>
      </c>
      <c r="U94" t="s">
        <v>75</v>
      </c>
      <c r="V94">
        <v>115.3</v>
      </c>
      <c r="W94">
        <v>119.5</v>
      </c>
      <c r="X94">
        <v>116</v>
      </c>
      <c r="Y94">
        <v>111.5</v>
      </c>
      <c r="Z94">
        <v>116.6</v>
      </c>
      <c r="AA94">
        <v>125.4</v>
      </c>
      <c r="AB94">
        <v>111.7</v>
      </c>
      <c r="AC94">
        <v>116.3</v>
      </c>
      <c r="AD94">
        <v>122.4</v>
      </c>
    </row>
    <row r="95" spans="1:30" x14ac:dyDescent="0.3">
      <c r="A95" t="s">
        <v>35</v>
      </c>
      <c r="B95">
        <v>2015</v>
      </c>
      <c r="C95" t="s">
        <v>44</v>
      </c>
      <c r="D95">
        <v>123.7</v>
      </c>
      <c r="E95">
        <v>132.5</v>
      </c>
      <c r="F95">
        <v>121</v>
      </c>
      <c r="G95">
        <v>128.30000000000001</v>
      </c>
      <c r="H95">
        <v>110.9</v>
      </c>
      <c r="I95">
        <v>133.1</v>
      </c>
      <c r="J95">
        <v>145.1</v>
      </c>
      <c r="K95">
        <v>139.1</v>
      </c>
      <c r="L95">
        <v>91.3</v>
      </c>
      <c r="M95">
        <v>126.1</v>
      </c>
      <c r="N95">
        <v>119.9</v>
      </c>
      <c r="O95">
        <v>131.4</v>
      </c>
      <c r="P95">
        <v>128.19999999999999</v>
      </c>
      <c r="Q95">
        <v>130.4</v>
      </c>
      <c r="R95">
        <v>126.7</v>
      </c>
      <c r="S95">
        <v>122.3</v>
      </c>
      <c r="T95">
        <v>126.1</v>
      </c>
      <c r="U95" t="s">
        <v>75</v>
      </c>
      <c r="V95">
        <v>120.1</v>
      </c>
      <c r="W95">
        <v>121.3</v>
      </c>
      <c r="X95">
        <v>119</v>
      </c>
      <c r="Y95">
        <v>112.7</v>
      </c>
      <c r="Z95">
        <v>117.2</v>
      </c>
      <c r="AA95">
        <v>124.4</v>
      </c>
      <c r="AB95">
        <v>112.3</v>
      </c>
      <c r="AC95">
        <v>117.2</v>
      </c>
      <c r="AD95">
        <v>123.6</v>
      </c>
    </row>
    <row r="96" spans="1:30" x14ac:dyDescent="0.3">
      <c r="A96" t="s">
        <v>30</v>
      </c>
      <c r="B96">
        <v>2015</v>
      </c>
      <c r="C96" t="s">
        <v>46</v>
      </c>
      <c r="D96">
        <v>124.7</v>
      </c>
      <c r="E96">
        <v>131.30000000000001</v>
      </c>
      <c r="F96">
        <v>121.3</v>
      </c>
      <c r="G96">
        <v>128.80000000000001</v>
      </c>
      <c r="H96">
        <v>114</v>
      </c>
      <c r="I96">
        <v>134.19999999999999</v>
      </c>
      <c r="J96">
        <v>153.6</v>
      </c>
      <c r="K96">
        <v>137.9</v>
      </c>
      <c r="L96">
        <v>93.1</v>
      </c>
      <c r="M96">
        <v>123.9</v>
      </c>
      <c r="N96">
        <v>121.5</v>
      </c>
      <c r="O96">
        <v>132.5</v>
      </c>
      <c r="P96">
        <v>129.80000000000001</v>
      </c>
      <c r="Q96">
        <v>130.1</v>
      </c>
      <c r="R96">
        <v>129.5</v>
      </c>
      <c r="S96">
        <v>126.3</v>
      </c>
      <c r="T96">
        <v>129</v>
      </c>
      <c r="U96" t="s">
        <v>32</v>
      </c>
      <c r="V96">
        <v>123.8</v>
      </c>
      <c r="W96">
        <v>123.7</v>
      </c>
      <c r="X96">
        <v>121.1</v>
      </c>
      <c r="Y96">
        <v>113.6</v>
      </c>
      <c r="Z96">
        <v>118.5</v>
      </c>
      <c r="AA96">
        <v>123.6</v>
      </c>
      <c r="AB96">
        <v>112.5</v>
      </c>
      <c r="AC96">
        <v>118.2</v>
      </c>
      <c r="AD96">
        <v>126.1</v>
      </c>
    </row>
    <row r="97" spans="1:30" x14ac:dyDescent="0.3">
      <c r="A97" t="s">
        <v>33</v>
      </c>
      <c r="B97">
        <v>2015</v>
      </c>
      <c r="C97" t="s">
        <v>46</v>
      </c>
      <c r="D97">
        <v>123.1</v>
      </c>
      <c r="E97">
        <v>131.69999999999999</v>
      </c>
      <c r="F97">
        <v>118.1</v>
      </c>
      <c r="G97">
        <v>128</v>
      </c>
      <c r="H97">
        <v>106.8</v>
      </c>
      <c r="I97">
        <v>130.1</v>
      </c>
      <c r="J97">
        <v>165.5</v>
      </c>
      <c r="K97">
        <v>156</v>
      </c>
      <c r="L97">
        <v>85.3</v>
      </c>
      <c r="M97">
        <v>132.69999999999999</v>
      </c>
      <c r="N97">
        <v>118.8</v>
      </c>
      <c r="O97">
        <v>131.69999999999999</v>
      </c>
      <c r="P97">
        <v>131.1</v>
      </c>
      <c r="Q97">
        <v>134.19999999999999</v>
      </c>
      <c r="R97">
        <v>123.7</v>
      </c>
      <c r="S97">
        <v>118.2</v>
      </c>
      <c r="T97">
        <v>122.9</v>
      </c>
      <c r="U97" t="s">
        <v>76</v>
      </c>
      <c r="V97">
        <v>115.3</v>
      </c>
      <c r="W97">
        <v>120</v>
      </c>
      <c r="X97">
        <v>116.6</v>
      </c>
      <c r="Y97">
        <v>109.9</v>
      </c>
      <c r="Z97">
        <v>117.2</v>
      </c>
      <c r="AA97">
        <v>126.2</v>
      </c>
      <c r="AB97">
        <v>112</v>
      </c>
      <c r="AC97">
        <v>116.2</v>
      </c>
      <c r="AD97">
        <v>123.2</v>
      </c>
    </row>
    <row r="98" spans="1:30" x14ac:dyDescent="0.3">
      <c r="A98" t="s">
        <v>35</v>
      </c>
      <c r="B98">
        <v>2015</v>
      </c>
      <c r="C98" t="s">
        <v>46</v>
      </c>
      <c r="D98">
        <v>124.2</v>
      </c>
      <c r="E98">
        <v>131.4</v>
      </c>
      <c r="F98">
        <v>120.1</v>
      </c>
      <c r="G98">
        <v>128.5</v>
      </c>
      <c r="H98">
        <v>111.4</v>
      </c>
      <c r="I98">
        <v>132.30000000000001</v>
      </c>
      <c r="J98">
        <v>157.6</v>
      </c>
      <c r="K98">
        <v>144</v>
      </c>
      <c r="L98">
        <v>90.5</v>
      </c>
      <c r="M98">
        <v>126.8</v>
      </c>
      <c r="N98">
        <v>120.4</v>
      </c>
      <c r="O98">
        <v>132.1</v>
      </c>
      <c r="P98">
        <v>130.30000000000001</v>
      </c>
      <c r="Q98">
        <v>131.19999999999999</v>
      </c>
      <c r="R98">
        <v>127.2</v>
      </c>
      <c r="S98">
        <v>122.9</v>
      </c>
      <c r="T98">
        <v>126.6</v>
      </c>
      <c r="U98" t="s">
        <v>76</v>
      </c>
      <c r="V98">
        <v>120.6</v>
      </c>
      <c r="W98">
        <v>122</v>
      </c>
      <c r="X98">
        <v>119.4</v>
      </c>
      <c r="Y98">
        <v>111.7</v>
      </c>
      <c r="Z98">
        <v>117.8</v>
      </c>
      <c r="AA98">
        <v>125.1</v>
      </c>
      <c r="AB98">
        <v>112.3</v>
      </c>
      <c r="AC98">
        <v>117.2</v>
      </c>
      <c r="AD98">
        <v>124.8</v>
      </c>
    </row>
    <row r="99" spans="1:30" x14ac:dyDescent="0.3">
      <c r="A99" t="s">
        <v>30</v>
      </c>
      <c r="B99">
        <v>2015</v>
      </c>
      <c r="C99" t="s">
        <v>48</v>
      </c>
      <c r="D99">
        <v>125.1</v>
      </c>
      <c r="E99">
        <v>131.1</v>
      </c>
      <c r="F99">
        <v>120.7</v>
      </c>
      <c r="G99">
        <v>129.19999999999999</v>
      </c>
      <c r="H99">
        <v>114.7</v>
      </c>
      <c r="I99">
        <v>132.30000000000001</v>
      </c>
      <c r="J99">
        <v>158.9</v>
      </c>
      <c r="K99">
        <v>142.1</v>
      </c>
      <c r="L99">
        <v>92.5</v>
      </c>
      <c r="M99">
        <v>125.4</v>
      </c>
      <c r="N99">
        <v>121.9</v>
      </c>
      <c r="O99">
        <v>132.69999999999999</v>
      </c>
      <c r="P99">
        <v>131</v>
      </c>
      <c r="Q99">
        <v>131</v>
      </c>
      <c r="R99">
        <v>130.4</v>
      </c>
      <c r="S99">
        <v>126.8</v>
      </c>
      <c r="T99">
        <v>129.9</v>
      </c>
      <c r="U99" t="s">
        <v>32</v>
      </c>
      <c r="V99">
        <v>123.7</v>
      </c>
      <c r="W99">
        <v>124.5</v>
      </c>
      <c r="X99">
        <v>121.4</v>
      </c>
      <c r="Y99">
        <v>113.8</v>
      </c>
      <c r="Z99">
        <v>119.6</v>
      </c>
      <c r="AA99">
        <v>124.5</v>
      </c>
      <c r="AB99">
        <v>113.7</v>
      </c>
      <c r="AC99">
        <v>118.8</v>
      </c>
      <c r="AD99">
        <v>127</v>
      </c>
    </row>
    <row r="100" spans="1:30" x14ac:dyDescent="0.3">
      <c r="A100" t="s">
        <v>33</v>
      </c>
      <c r="B100">
        <v>2015</v>
      </c>
      <c r="C100" t="s">
        <v>48</v>
      </c>
      <c r="D100">
        <v>123.4</v>
      </c>
      <c r="E100">
        <v>129</v>
      </c>
      <c r="F100">
        <v>115.6</v>
      </c>
      <c r="G100">
        <v>128.30000000000001</v>
      </c>
      <c r="H100">
        <v>107</v>
      </c>
      <c r="I100">
        <v>124</v>
      </c>
      <c r="J100">
        <v>168.5</v>
      </c>
      <c r="K100">
        <v>165.4</v>
      </c>
      <c r="L100">
        <v>86.3</v>
      </c>
      <c r="M100">
        <v>134.4</v>
      </c>
      <c r="N100">
        <v>119.1</v>
      </c>
      <c r="O100">
        <v>132.30000000000001</v>
      </c>
      <c r="P100">
        <v>131.5</v>
      </c>
      <c r="Q100">
        <v>134.69999999999999</v>
      </c>
      <c r="R100">
        <v>124</v>
      </c>
      <c r="S100">
        <v>118.6</v>
      </c>
      <c r="T100">
        <v>123.2</v>
      </c>
      <c r="U100" t="s">
        <v>77</v>
      </c>
      <c r="V100">
        <v>115.1</v>
      </c>
      <c r="W100">
        <v>120.4</v>
      </c>
      <c r="X100">
        <v>117.1</v>
      </c>
      <c r="Y100">
        <v>109.1</v>
      </c>
      <c r="Z100">
        <v>117.3</v>
      </c>
      <c r="AA100">
        <v>126.5</v>
      </c>
      <c r="AB100">
        <v>112.9</v>
      </c>
      <c r="AC100">
        <v>116.2</v>
      </c>
      <c r="AD100">
        <v>123.5</v>
      </c>
    </row>
    <row r="101" spans="1:30" x14ac:dyDescent="0.3">
      <c r="A101" t="s">
        <v>35</v>
      </c>
      <c r="B101">
        <v>2015</v>
      </c>
      <c r="C101" t="s">
        <v>48</v>
      </c>
      <c r="D101">
        <v>124.6</v>
      </c>
      <c r="E101">
        <v>130.4</v>
      </c>
      <c r="F101">
        <v>118.7</v>
      </c>
      <c r="G101">
        <v>128.9</v>
      </c>
      <c r="H101">
        <v>111.9</v>
      </c>
      <c r="I101">
        <v>128.4</v>
      </c>
      <c r="J101">
        <v>162.19999999999999</v>
      </c>
      <c r="K101">
        <v>150</v>
      </c>
      <c r="L101">
        <v>90.4</v>
      </c>
      <c r="M101">
        <v>128.4</v>
      </c>
      <c r="N101">
        <v>120.7</v>
      </c>
      <c r="O101">
        <v>132.5</v>
      </c>
      <c r="P101">
        <v>131.19999999999999</v>
      </c>
      <c r="Q101">
        <v>132</v>
      </c>
      <c r="R101">
        <v>127.9</v>
      </c>
      <c r="S101">
        <v>123.4</v>
      </c>
      <c r="T101">
        <v>127.2</v>
      </c>
      <c r="U101" t="s">
        <v>77</v>
      </c>
      <c r="V101">
        <v>120.4</v>
      </c>
      <c r="W101">
        <v>122.6</v>
      </c>
      <c r="X101">
        <v>119.8</v>
      </c>
      <c r="Y101">
        <v>111.3</v>
      </c>
      <c r="Z101">
        <v>118.3</v>
      </c>
      <c r="AA101">
        <v>125.7</v>
      </c>
      <c r="AB101">
        <v>113.4</v>
      </c>
      <c r="AC101">
        <v>117.5</v>
      </c>
      <c r="AD101">
        <v>125.4</v>
      </c>
    </row>
    <row r="102" spans="1:30" x14ac:dyDescent="0.3">
      <c r="A102" t="s">
        <v>30</v>
      </c>
      <c r="B102">
        <v>2015</v>
      </c>
      <c r="C102" t="s">
        <v>50</v>
      </c>
      <c r="D102">
        <v>125.6</v>
      </c>
      <c r="E102">
        <v>130.4</v>
      </c>
      <c r="F102">
        <v>120.8</v>
      </c>
      <c r="G102">
        <v>129.4</v>
      </c>
      <c r="H102">
        <v>115.8</v>
      </c>
      <c r="I102">
        <v>133.19999999999999</v>
      </c>
      <c r="J102">
        <v>157.69999999999999</v>
      </c>
      <c r="K102">
        <v>154.19999999999999</v>
      </c>
      <c r="L102">
        <v>93.7</v>
      </c>
      <c r="M102">
        <v>126.6</v>
      </c>
      <c r="N102">
        <v>122.3</v>
      </c>
      <c r="O102">
        <v>133.1</v>
      </c>
      <c r="P102">
        <v>131.80000000000001</v>
      </c>
      <c r="Q102">
        <v>131.5</v>
      </c>
      <c r="R102">
        <v>131.1</v>
      </c>
      <c r="S102">
        <v>127.3</v>
      </c>
      <c r="T102">
        <v>130.6</v>
      </c>
      <c r="U102" t="s">
        <v>32</v>
      </c>
      <c r="V102">
        <v>124.4</v>
      </c>
      <c r="W102">
        <v>125.1</v>
      </c>
      <c r="X102">
        <v>122</v>
      </c>
      <c r="Y102">
        <v>113.8</v>
      </c>
      <c r="Z102">
        <v>120.1</v>
      </c>
      <c r="AA102">
        <v>125.1</v>
      </c>
      <c r="AB102">
        <v>114.2</v>
      </c>
      <c r="AC102">
        <v>119.2</v>
      </c>
      <c r="AD102">
        <v>127.7</v>
      </c>
    </row>
    <row r="103" spans="1:30" x14ac:dyDescent="0.3">
      <c r="A103" t="s">
        <v>33</v>
      </c>
      <c r="B103">
        <v>2015</v>
      </c>
      <c r="C103" t="s">
        <v>50</v>
      </c>
      <c r="D103">
        <v>123.6</v>
      </c>
      <c r="E103">
        <v>128.6</v>
      </c>
      <c r="F103">
        <v>115.9</v>
      </c>
      <c r="G103">
        <v>128.5</v>
      </c>
      <c r="H103">
        <v>109</v>
      </c>
      <c r="I103">
        <v>124.1</v>
      </c>
      <c r="J103">
        <v>165.8</v>
      </c>
      <c r="K103">
        <v>187.2</v>
      </c>
      <c r="L103">
        <v>89.4</v>
      </c>
      <c r="M103">
        <v>135.80000000000001</v>
      </c>
      <c r="N103">
        <v>119.4</v>
      </c>
      <c r="O103">
        <v>132.9</v>
      </c>
      <c r="P103">
        <v>132.6</v>
      </c>
      <c r="Q103">
        <v>135.30000000000001</v>
      </c>
      <c r="R103">
        <v>124.4</v>
      </c>
      <c r="S103">
        <v>118.8</v>
      </c>
      <c r="T103">
        <v>123.6</v>
      </c>
      <c r="U103" t="s">
        <v>78</v>
      </c>
      <c r="V103">
        <v>114.9</v>
      </c>
      <c r="W103">
        <v>120.7</v>
      </c>
      <c r="X103">
        <v>117.7</v>
      </c>
      <c r="Y103">
        <v>109.3</v>
      </c>
      <c r="Z103">
        <v>117.7</v>
      </c>
      <c r="AA103">
        <v>126.5</v>
      </c>
      <c r="AB103">
        <v>113.5</v>
      </c>
      <c r="AC103">
        <v>116.5</v>
      </c>
      <c r="AD103">
        <v>124.2</v>
      </c>
    </row>
    <row r="104" spans="1:30" x14ac:dyDescent="0.3">
      <c r="A104" t="s">
        <v>35</v>
      </c>
      <c r="B104">
        <v>2015</v>
      </c>
      <c r="C104" t="s">
        <v>50</v>
      </c>
      <c r="D104">
        <v>125</v>
      </c>
      <c r="E104">
        <v>129.80000000000001</v>
      </c>
      <c r="F104">
        <v>118.9</v>
      </c>
      <c r="G104">
        <v>129.1</v>
      </c>
      <c r="H104">
        <v>113.3</v>
      </c>
      <c r="I104">
        <v>129</v>
      </c>
      <c r="J104">
        <v>160.4</v>
      </c>
      <c r="K104">
        <v>165.3</v>
      </c>
      <c r="L104">
        <v>92.3</v>
      </c>
      <c r="M104">
        <v>129.69999999999999</v>
      </c>
      <c r="N104">
        <v>121.1</v>
      </c>
      <c r="O104">
        <v>133</v>
      </c>
      <c r="P104">
        <v>132.1</v>
      </c>
      <c r="Q104">
        <v>132.5</v>
      </c>
      <c r="R104">
        <v>128.5</v>
      </c>
      <c r="S104">
        <v>123.8</v>
      </c>
      <c r="T104">
        <v>127.8</v>
      </c>
      <c r="U104" t="s">
        <v>78</v>
      </c>
      <c r="V104">
        <v>120.8</v>
      </c>
      <c r="W104">
        <v>123</v>
      </c>
      <c r="X104">
        <v>120.4</v>
      </c>
      <c r="Y104">
        <v>111.4</v>
      </c>
      <c r="Z104">
        <v>118.7</v>
      </c>
      <c r="AA104">
        <v>125.9</v>
      </c>
      <c r="AB104">
        <v>113.9</v>
      </c>
      <c r="AC104">
        <v>117.9</v>
      </c>
      <c r="AD104">
        <v>126.1</v>
      </c>
    </row>
    <row r="105" spans="1:30" x14ac:dyDescent="0.3">
      <c r="A105" t="s">
        <v>30</v>
      </c>
      <c r="B105">
        <v>2015</v>
      </c>
      <c r="C105" t="s">
        <v>53</v>
      </c>
      <c r="D105">
        <v>126.1</v>
      </c>
      <c r="E105">
        <v>130.6</v>
      </c>
      <c r="F105">
        <v>121.7</v>
      </c>
      <c r="G105">
        <v>129.5</v>
      </c>
      <c r="H105">
        <v>117.8</v>
      </c>
      <c r="I105">
        <v>132.1</v>
      </c>
      <c r="J105">
        <v>155.19999999999999</v>
      </c>
      <c r="K105">
        <v>160.80000000000001</v>
      </c>
      <c r="L105">
        <v>94.5</v>
      </c>
      <c r="M105">
        <v>128.30000000000001</v>
      </c>
      <c r="N105">
        <v>123.1</v>
      </c>
      <c r="O105">
        <v>134.19999999999999</v>
      </c>
      <c r="P105">
        <v>132.4</v>
      </c>
      <c r="Q105">
        <v>132.19999999999999</v>
      </c>
      <c r="R105">
        <v>132.1</v>
      </c>
      <c r="S105">
        <v>128.19999999999999</v>
      </c>
      <c r="T105">
        <v>131.5</v>
      </c>
      <c r="U105" t="s">
        <v>32</v>
      </c>
      <c r="V105">
        <v>125.6</v>
      </c>
      <c r="W105">
        <v>125.6</v>
      </c>
      <c r="X105">
        <v>122.6</v>
      </c>
      <c r="Y105">
        <v>114</v>
      </c>
      <c r="Z105">
        <v>120.9</v>
      </c>
      <c r="AA105">
        <v>125.8</v>
      </c>
      <c r="AB105">
        <v>114.2</v>
      </c>
      <c r="AC105">
        <v>119.6</v>
      </c>
      <c r="AD105">
        <v>128.30000000000001</v>
      </c>
    </row>
    <row r="106" spans="1:30" x14ac:dyDescent="0.3">
      <c r="A106" t="s">
        <v>33</v>
      </c>
      <c r="B106">
        <v>2015</v>
      </c>
      <c r="C106" t="s">
        <v>53</v>
      </c>
      <c r="D106">
        <v>124</v>
      </c>
      <c r="E106">
        <v>129.80000000000001</v>
      </c>
      <c r="F106">
        <v>121.5</v>
      </c>
      <c r="G106">
        <v>128.6</v>
      </c>
      <c r="H106">
        <v>110</v>
      </c>
      <c r="I106">
        <v>123.7</v>
      </c>
      <c r="J106">
        <v>164.6</v>
      </c>
      <c r="K106">
        <v>191.6</v>
      </c>
      <c r="L106">
        <v>90.8</v>
      </c>
      <c r="M106">
        <v>137.1</v>
      </c>
      <c r="N106">
        <v>119.8</v>
      </c>
      <c r="O106">
        <v>133.69999999999999</v>
      </c>
      <c r="P106">
        <v>133.30000000000001</v>
      </c>
      <c r="Q106">
        <v>137.6</v>
      </c>
      <c r="R106">
        <v>125</v>
      </c>
      <c r="S106">
        <v>119.3</v>
      </c>
      <c r="T106">
        <v>124.2</v>
      </c>
      <c r="U106" t="s">
        <v>79</v>
      </c>
      <c r="V106">
        <v>115.1</v>
      </c>
      <c r="W106">
        <v>121</v>
      </c>
      <c r="X106">
        <v>118.1</v>
      </c>
      <c r="Y106">
        <v>109.3</v>
      </c>
      <c r="Z106">
        <v>117.9</v>
      </c>
      <c r="AA106">
        <v>126.6</v>
      </c>
      <c r="AB106">
        <v>113.3</v>
      </c>
      <c r="AC106">
        <v>116.6</v>
      </c>
      <c r="AD106">
        <v>124.6</v>
      </c>
    </row>
    <row r="107" spans="1:30" x14ac:dyDescent="0.3">
      <c r="A107" t="s">
        <v>35</v>
      </c>
      <c r="B107">
        <v>2015</v>
      </c>
      <c r="C107" t="s">
        <v>53</v>
      </c>
      <c r="D107">
        <v>125.4</v>
      </c>
      <c r="E107">
        <v>130.30000000000001</v>
      </c>
      <c r="F107">
        <v>121.6</v>
      </c>
      <c r="G107">
        <v>129.19999999999999</v>
      </c>
      <c r="H107">
        <v>114.9</v>
      </c>
      <c r="I107">
        <v>128.19999999999999</v>
      </c>
      <c r="J107">
        <v>158.4</v>
      </c>
      <c r="K107">
        <v>171.2</v>
      </c>
      <c r="L107">
        <v>93.3</v>
      </c>
      <c r="M107">
        <v>131.19999999999999</v>
      </c>
      <c r="N107">
        <v>121.7</v>
      </c>
      <c r="O107">
        <v>134</v>
      </c>
      <c r="P107">
        <v>132.69999999999999</v>
      </c>
      <c r="Q107">
        <v>133.6</v>
      </c>
      <c r="R107">
        <v>129.30000000000001</v>
      </c>
      <c r="S107">
        <v>124.5</v>
      </c>
      <c r="T107">
        <v>128.6</v>
      </c>
      <c r="U107" t="s">
        <v>79</v>
      </c>
      <c r="V107">
        <v>121.6</v>
      </c>
      <c r="W107">
        <v>123.4</v>
      </c>
      <c r="X107">
        <v>120.9</v>
      </c>
      <c r="Y107">
        <v>111.5</v>
      </c>
      <c r="Z107">
        <v>119.2</v>
      </c>
      <c r="AA107">
        <v>126.3</v>
      </c>
      <c r="AB107">
        <v>113.8</v>
      </c>
      <c r="AC107">
        <v>118.1</v>
      </c>
      <c r="AD107">
        <v>126.6</v>
      </c>
    </row>
    <row r="108" spans="1:30" x14ac:dyDescent="0.3">
      <c r="A108" t="s">
        <v>30</v>
      </c>
      <c r="B108">
        <v>2015</v>
      </c>
      <c r="C108" t="s">
        <v>55</v>
      </c>
      <c r="D108">
        <v>126.3</v>
      </c>
      <c r="E108">
        <v>131.30000000000001</v>
      </c>
      <c r="F108">
        <v>123.3</v>
      </c>
      <c r="G108">
        <v>129.80000000000001</v>
      </c>
      <c r="H108">
        <v>118.3</v>
      </c>
      <c r="I108">
        <v>131.6</v>
      </c>
      <c r="J108">
        <v>145.5</v>
      </c>
      <c r="K108">
        <v>162.1</v>
      </c>
      <c r="L108">
        <v>95.4</v>
      </c>
      <c r="M108">
        <v>128.9</v>
      </c>
      <c r="N108">
        <v>123.3</v>
      </c>
      <c r="O108">
        <v>135.1</v>
      </c>
      <c r="P108">
        <v>131.4</v>
      </c>
      <c r="Q108">
        <v>133.1</v>
      </c>
      <c r="R108">
        <v>132.5</v>
      </c>
      <c r="S108">
        <v>128.5</v>
      </c>
      <c r="T108">
        <v>131.9</v>
      </c>
      <c r="U108" t="s">
        <v>32</v>
      </c>
      <c r="V108">
        <v>125.7</v>
      </c>
      <c r="W108">
        <v>126</v>
      </c>
      <c r="X108">
        <v>123.1</v>
      </c>
      <c r="Y108">
        <v>114</v>
      </c>
      <c r="Z108">
        <v>121.6</v>
      </c>
      <c r="AA108">
        <v>125.6</v>
      </c>
      <c r="AB108">
        <v>114.1</v>
      </c>
      <c r="AC108">
        <v>119.8</v>
      </c>
      <c r="AD108">
        <v>127.9</v>
      </c>
    </row>
    <row r="109" spans="1:30" x14ac:dyDescent="0.3">
      <c r="A109" t="s">
        <v>33</v>
      </c>
      <c r="B109">
        <v>2015</v>
      </c>
      <c r="C109" t="s">
        <v>55</v>
      </c>
      <c r="D109">
        <v>124.3</v>
      </c>
      <c r="E109">
        <v>131.69999999999999</v>
      </c>
      <c r="F109">
        <v>127.1</v>
      </c>
      <c r="G109">
        <v>128.6</v>
      </c>
      <c r="H109">
        <v>110</v>
      </c>
      <c r="I109">
        <v>120.8</v>
      </c>
      <c r="J109">
        <v>149</v>
      </c>
      <c r="K109">
        <v>190.1</v>
      </c>
      <c r="L109">
        <v>92.7</v>
      </c>
      <c r="M109">
        <v>138.6</v>
      </c>
      <c r="N109">
        <v>120.2</v>
      </c>
      <c r="O109">
        <v>134.19999999999999</v>
      </c>
      <c r="P109">
        <v>131.5</v>
      </c>
      <c r="Q109">
        <v>138.19999999999999</v>
      </c>
      <c r="R109">
        <v>125.4</v>
      </c>
      <c r="S109">
        <v>119.5</v>
      </c>
      <c r="T109">
        <v>124.5</v>
      </c>
      <c r="U109" t="s">
        <v>78</v>
      </c>
      <c r="V109">
        <v>116</v>
      </c>
      <c r="W109">
        <v>121</v>
      </c>
      <c r="X109">
        <v>118.6</v>
      </c>
      <c r="Y109">
        <v>109.3</v>
      </c>
      <c r="Z109">
        <v>118.1</v>
      </c>
      <c r="AA109">
        <v>126.6</v>
      </c>
      <c r="AB109">
        <v>113.2</v>
      </c>
      <c r="AC109">
        <v>116.7</v>
      </c>
      <c r="AD109">
        <v>124</v>
      </c>
    </row>
    <row r="110" spans="1:30" x14ac:dyDescent="0.3">
      <c r="A110" t="s">
        <v>35</v>
      </c>
      <c r="B110">
        <v>2015</v>
      </c>
      <c r="C110" t="s">
        <v>55</v>
      </c>
      <c r="D110">
        <v>125.7</v>
      </c>
      <c r="E110">
        <v>131.4</v>
      </c>
      <c r="F110">
        <v>124.8</v>
      </c>
      <c r="G110">
        <v>129.4</v>
      </c>
      <c r="H110">
        <v>115.3</v>
      </c>
      <c r="I110">
        <v>126.6</v>
      </c>
      <c r="J110">
        <v>146.69999999999999</v>
      </c>
      <c r="K110">
        <v>171.5</v>
      </c>
      <c r="L110">
        <v>94.5</v>
      </c>
      <c r="M110">
        <v>132.1</v>
      </c>
      <c r="N110">
        <v>122</v>
      </c>
      <c r="O110">
        <v>134.69999999999999</v>
      </c>
      <c r="P110">
        <v>131.4</v>
      </c>
      <c r="Q110">
        <v>134.5</v>
      </c>
      <c r="R110">
        <v>129.69999999999999</v>
      </c>
      <c r="S110">
        <v>124.8</v>
      </c>
      <c r="T110">
        <v>129</v>
      </c>
      <c r="U110" t="s">
        <v>78</v>
      </c>
      <c r="V110">
        <v>122</v>
      </c>
      <c r="W110">
        <v>123.6</v>
      </c>
      <c r="X110">
        <v>121.4</v>
      </c>
      <c r="Y110">
        <v>111.5</v>
      </c>
      <c r="Z110">
        <v>119.6</v>
      </c>
      <c r="AA110">
        <v>126.2</v>
      </c>
      <c r="AB110">
        <v>113.7</v>
      </c>
      <c r="AC110">
        <v>118.3</v>
      </c>
      <c r="AD110">
        <v>126.1</v>
      </c>
    </row>
    <row r="111" spans="1:30" x14ac:dyDescent="0.3">
      <c r="A111" t="s">
        <v>30</v>
      </c>
      <c r="B111">
        <v>2016</v>
      </c>
      <c r="C111" t="s">
        <v>31</v>
      </c>
      <c r="D111">
        <v>126.8</v>
      </c>
      <c r="E111">
        <v>133.19999999999999</v>
      </c>
      <c r="F111">
        <v>126.5</v>
      </c>
      <c r="G111">
        <v>130.30000000000001</v>
      </c>
      <c r="H111">
        <v>118.9</v>
      </c>
      <c r="I111">
        <v>131.6</v>
      </c>
      <c r="J111">
        <v>140.1</v>
      </c>
      <c r="K111">
        <v>163.80000000000001</v>
      </c>
      <c r="L111">
        <v>97.7</v>
      </c>
      <c r="M111">
        <v>129.6</v>
      </c>
      <c r="N111">
        <v>124.3</v>
      </c>
      <c r="O111">
        <v>135.9</v>
      </c>
      <c r="P111">
        <v>131.4</v>
      </c>
      <c r="Q111">
        <v>133.6</v>
      </c>
      <c r="R111">
        <v>133.19999999999999</v>
      </c>
      <c r="S111">
        <v>128.9</v>
      </c>
      <c r="T111">
        <v>132.6</v>
      </c>
      <c r="U111" t="s">
        <v>32</v>
      </c>
      <c r="V111">
        <v>126.2</v>
      </c>
      <c r="W111">
        <v>126.6</v>
      </c>
      <c r="X111">
        <v>123.7</v>
      </c>
      <c r="Y111">
        <v>113.6</v>
      </c>
      <c r="Z111">
        <v>121.4</v>
      </c>
      <c r="AA111">
        <v>126.2</v>
      </c>
      <c r="AB111">
        <v>114.9</v>
      </c>
      <c r="AC111">
        <v>120.1</v>
      </c>
      <c r="AD111">
        <v>128.1</v>
      </c>
    </row>
    <row r="112" spans="1:30" x14ac:dyDescent="0.3">
      <c r="A112" t="s">
        <v>33</v>
      </c>
      <c r="B112">
        <v>2016</v>
      </c>
      <c r="C112" t="s">
        <v>31</v>
      </c>
      <c r="D112">
        <v>124.7</v>
      </c>
      <c r="E112">
        <v>135.9</v>
      </c>
      <c r="F112">
        <v>132</v>
      </c>
      <c r="G112">
        <v>129.19999999999999</v>
      </c>
      <c r="H112">
        <v>109.7</v>
      </c>
      <c r="I112">
        <v>119</v>
      </c>
      <c r="J112">
        <v>144.1</v>
      </c>
      <c r="K112">
        <v>184.2</v>
      </c>
      <c r="L112">
        <v>96.7</v>
      </c>
      <c r="M112">
        <v>139.5</v>
      </c>
      <c r="N112">
        <v>120.5</v>
      </c>
      <c r="O112">
        <v>134.69999999999999</v>
      </c>
      <c r="P112">
        <v>131.19999999999999</v>
      </c>
      <c r="Q112">
        <v>139.5</v>
      </c>
      <c r="R112">
        <v>125.8</v>
      </c>
      <c r="S112">
        <v>119.8</v>
      </c>
      <c r="T112">
        <v>124.9</v>
      </c>
      <c r="U112" t="s">
        <v>80</v>
      </c>
      <c r="V112">
        <v>116.9</v>
      </c>
      <c r="W112">
        <v>121.6</v>
      </c>
      <c r="X112">
        <v>119.1</v>
      </c>
      <c r="Y112">
        <v>108.9</v>
      </c>
      <c r="Z112">
        <v>118.5</v>
      </c>
      <c r="AA112">
        <v>126.4</v>
      </c>
      <c r="AB112">
        <v>114</v>
      </c>
      <c r="AC112">
        <v>116.8</v>
      </c>
      <c r="AD112">
        <v>124.2</v>
      </c>
    </row>
    <row r="113" spans="1:30" x14ac:dyDescent="0.3">
      <c r="A113" t="s">
        <v>35</v>
      </c>
      <c r="B113">
        <v>2016</v>
      </c>
      <c r="C113" t="s">
        <v>31</v>
      </c>
      <c r="D113">
        <v>126.1</v>
      </c>
      <c r="E113">
        <v>134.1</v>
      </c>
      <c r="F113">
        <v>128.6</v>
      </c>
      <c r="G113">
        <v>129.9</v>
      </c>
      <c r="H113">
        <v>115.5</v>
      </c>
      <c r="I113">
        <v>125.7</v>
      </c>
      <c r="J113">
        <v>141.5</v>
      </c>
      <c r="K113">
        <v>170.7</v>
      </c>
      <c r="L113">
        <v>97.4</v>
      </c>
      <c r="M113">
        <v>132.9</v>
      </c>
      <c r="N113">
        <v>122.7</v>
      </c>
      <c r="O113">
        <v>135.30000000000001</v>
      </c>
      <c r="P113">
        <v>131.30000000000001</v>
      </c>
      <c r="Q113">
        <v>135.19999999999999</v>
      </c>
      <c r="R113">
        <v>130.30000000000001</v>
      </c>
      <c r="S113">
        <v>125.1</v>
      </c>
      <c r="T113">
        <v>129.5</v>
      </c>
      <c r="U113" t="s">
        <v>80</v>
      </c>
      <c r="V113">
        <v>122.7</v>
      </c>
      <c r="W113">
        <v>124.2</v>
      </c>
      <c r="X113">
        <v>122</v>
      </c>
      <c r="Y113">
        <v>111.1</v>
      </c>
      <c r="Z113">
        <v>119.8</v>
      </c>
      <c r="AA113">
        <v>126.3</v>
      </c>
      <c r="AB113">
        <v>114.5</v>
      </c>
      <c r="AC113">
        <v>118.5</v>
      </c>
      <c r="AD113">
        <v>126.3</v>
      </c>
    </row>
    <row r="114" spans="1:30" x14ac:dyDescent="0.3">
      <c r="A114" t="s">
        <v>30</v>
      </c>
      <c r="B114">
        <v>2016</v>
      </c>
      <c r="C114" t="s">
        <v>36</v>
      </c>
      <c r="D114">
        <v>127.1</v>
      </c>
      <c r="E114">
        <v>133.69999999999999</v>
      </c>
      <c r="F114">
        <v>127.7</v>
      </c>
      <c r="G114">
        <v>130.69999999999999</v>
      </c>
      <c r="H114">
        <v>118.5</v>
      </c>
      <c r="I114">
        <v>130.4</v>
      </c>
      <c r="J114">
        <v>130.9</v>
      </c>
      <c r="K114">
        <v>162.80000000000001</v>
      </c>
      <c r="L114">
        <v>98.7</v>
      </c>
      <c r="M114">
        <v>130.6</v>
      </c>
      <c r="N114">
        <v>124.8</v>
      </c>
      <c r="O114">
        <v>136.4</v>
      </c>
      <c r="P114">
        <v>130.30000000000001</v>
      </c>
      <c r="Q114">
        <v>134.4</v>
      </c>
      <c r="R114">
        <v>133.9</v>
      </c>
      <c r="S114">
        <v>129.80000000000001</v>
      </c>
      <c r="T114">
        <v>133.4</v>
      </c>
      <c r="U114" t="s">
        <v>32</v>
      </c>
      <c r="V114">
        <v>127.5</v>
      </c>
      <c r="W114">
        <v>127.1</v>
      </c>
      <c r="X114">
        <v>124.3</v>
      </c>
      <c r="Y114">
        <v>113.9</v>
      </c>
      <c r="Z114">
        <v>122.3</v>
      </c>
      <c r="AA114">
        <v>127.1</v>
      </c>
      <c r="AB114">
        <v>116.8</v>
      </c>
      <c r="AC114">
        <v>120.9</v>
      </c>
      <c r="AD114">
        <v>127.9</v>
      </c>
    </row>
    <row r="115" spans="1:30" x14ac:dyDescent="0.3">
      <c r="A115" t="s">
        <v>33</v>
      </c>
      <c r="B115">
        <v>2016</v>
      </c>
      <c r="C115" t="s">
        <v>36</v>
      </c>
      <c r="D115">
        <v>124.8</v>
      </c>
      <c r="E115">
        <v>135.1</v>
      </c>
      <c r="F115">
        <v>130.30000000000001</v>
      </c>
      <c r="G115">
        <v>129.6</v>
      </c>
      <c r="H115">
        <v>108.4</v>
      </c>
      <c r="I115">
        <v>118.6</v>
      </c>
      <c r="J115">
        <v>129.19999999999999</v>
      </c>
      <c r="K115">
        <v>176.4</v>
      </c>
      <c r="L115">
        <v>99.1</v>
      </c>
      <c r="M115">
        <v>139.69999999999999</v>
      </c>
      <c r="N115">
        <v>120.6</v>
      </c>
      <c r="O115">
        <v>135.19999999999999</v>
      </c>
      <c r="P115">
        <v>129.1</v>
      </c>
      <c r="Q115">
        <v>140</v>
      </c>
      <c r="R115">
        <v>126.2</v>
      </c>
      <c r="S115">
        <v>120.1</v>
      </c>
      <c r="T115">
        <v>125.3</v>
      </c>
      <c r="U115" t="s">
        <v>81</v>
      </c>
      <c r="V115">
        <v>116</v>
      </c>
      <c r="W115">
        <v>121.8</v>
      </c>
      <c r="X115">
        <v>119.5</v>
      </c>
      <c r="Y115">
        <v>109.1</v>
      </c>
      <c r="Z115">
        <v>118.8</v>
      </c>
      <c r="AA115">
        <v>126.3</v>
      </c>
      <c r="AB115">
        <v>116.2</v>
      </c>
      <c r="AC115">
        <v>117.2</v>
      </c>
      <c r="AD115">
        <v>123.8</v>
      </c>
    </row>
    <row r="116" spans="1:30" x14ac:dyDescent="0.3">
      <c r="A116" t="s">
        <v>35</v>
      </c>
      <c r="B116">
        <v>2016</v>
      </c>
      <c r="C116" t="s">
        <v>36</v>
      </c>
      <c r="D116">
        <v>126.4</v>
      </c>
      <c r="E116">
        <v>134.19999999999999</v>
      </c>
      <c r="F116">
        <v>128.69999999999999</v>
      </c>
      <c r="G116">
        <v>130.30000000000001</v>
      </c>
      <c r="H116">
        <v>114.8</v>
      </c>
      <c r="I116">
        <v>124.9</v>
      </c>
      <c r="J116">
        <v>130.30000000000001</v>
      </c>
      <c r="K116">
        <v>167.4</v>
      </c>
      <c r="L116">
        <v>98.8</v>
      </c>
      <c r="M116">
        <v>133.6</v>
      </c>
      <c r="N116">
        <v>123</v>
      </c>
      <c r="O116">
        <v>135.80000000000001</v>
      </c>
      <c r="P116">
        <v>129.9</v>
      </c>
      <c r="Q116">
        <v>135.9</v>
      </c>
      <c r="R116">
        <v>130.9</v>
      </c>
      <c r="S116">
        <v>125.8</v>
      </c>
      <c r="T116">
        <v>130.19999999999999</v>
      </c>
      <c r="U116" t="s">
        <v>81</v>
      </c>
      <c r="V116">
        <v>123.1</v>
      </c>
      <c r="W116">
        <v>124.6</v>
      </c>
      <c r="X116">
        <v>122.5</v>
      </c>
      <c r="Y116">
        <v>111.4</v>
      </c>
      <c r="Z116">
        <v>120.3</v>
      </c>
      <c r="AA116">
        <v>126.6</v>
      </c>
      <c r="AB116">
        <v>116.6</v>
      </c>
      <c r="AC116">
        <v>119.1</v>
      </c>
      <c r="AD116">
        <v>126</v>
      </c>
    </row>
    <row r="117" spans="1:30" x14ac:dyDescent="0.3">
      <c r="A117" t="s">
        <v>30</v>
      </c>
      <c r="B117">
        <v>2016</v>
      </c>
      <c r="C117" t="s">
        <v>38</v>
      </c>
      <c r="D117">
        <v>127.3</v>
      </c>
      <c r="E117">
        <v>134.4</v>
      </c>
      <c r="F117">
        <v>125.1</v>
      </c>
      <c r="G117">
        <v>130.5</v>
      </c>
      <c r="H117">
        <v>118.3</v>
      </c>
      <c r="I117">
        <v>131.69999999999999</v>
      </c>
      <c r="J117">
        <v>130.69999999999999</v>
      </c>
      <c r="K117">
        <v>161.19999999999999</v>
      </c>
      <c r="L117">
        <v>100.4</v>
      </c>
      <c r="M117">
        <v>130.80000000000001</v>
      </c>
      <c r="N117">
        <v>124.9</v>
      </c>
      <c r="O117">
        <v>137</v>
      </c>
      <c r="P117">
        <v>130.4</v>
      </c>
      <c r="Q117">
        <v>135</v>
      </c>
      <c r="R117">
        <v>134.4</v>
      </c>
      <c r="S117">
        <v>130.19999999999999</v>
      </c>
      <c r="T117">
        <v>133.80000000000001</v>
      </c>
      <c r="U117" t="s">
        <v>32</v>
      </c>
      <c r="V117">
        <v>127</v>
      </c>
      <c r="W117">
        <v>127.7</v>
      </c>
      <c r="X117">
        <v>124.8</v>
      </c>
      <c r="Y117">
        <v>113.6</v>
      </c>
      <c r="Z117">
        <v>122.5</v>
      </c>
      <c r="AA117">
        <v>127.5</v>
      </c>
      <c r="AB117">
        <v>117.4</v>
      </c>
      <c r="AC117">
        <v>121.1</v>
      </c>
      <c r="AD117">
        <v>128</v>
      </c>
    </row>
    <row r="118" spans="1:30" x14ac:dyDescent="0.3">
      <c r="A118" t="s">
        <v>33</v>
      </c>
      <c r="B118">
        <v>2016</v>
      </c>
      <c r="C118" t="s">
        <v>38</v>
      </c>
      <c r="D118">
        <v>124.8</v>
      </c>
      <c r="E118">
        <v>136.30000000000001</v>
      </c>
      <c r="F118">
        <v>123.7</v>
      </c>
      <c r="G118">
        <v>129.69999999999999</v>
      </c>
      <c r="H118">
        <v>107.9</v>
      </c>
      <c r="I118">
        <v>119.9</v>
      </c>
      <c r="J118">
        <v>128.1</v>
      </c>
      <c r="K118">
        <v>170.3</v>
      </c>
      <c r="L118">
        <v>101.8</v>
      </c>
      <c r="M118">
        <v>140.1</v>
      </c>
      <c r="N118">
        <v>120.7</v>
      </c>
      <c r="O118">
        <v>135.4</v>
      </c>
      <c r="P118">
        <v>128.9</v>
      </c>
      <c r="Q118">
        <v>140.6</v>
      </c>
      <c r="R118">
        <v>126.4</v>
      </c>
      <c r="S118">
        <v>120.3</v>
      </c>
      <c r="T118">
        <v>125.5</v>
      </c>
      <c r="U118" t="s">
        <v>82</v>
      </c>
      <c r="V118">
        <v>114.8</v>
      </c>
      <c r="W118">
        <v>122.3</v>
      </c>
      <c r="X118">
        <v>119.7</v>
      </c>
      <c r="Y118">
        <v>108.5</v>
      </c>
      <c r="Z118">
        <v>119.1</v>
      </c>
      <c r="AA118">
        <v>126.4</v>
      </c>
      <c r="AB118">
        <v>117.1</v>
      </c>
      <c r="AC118">
        <v>117.3</v>
      </c>
      <c r="AD118">
        <v>123.8</v>
      </c>
    </row>
    <row r="119" spans="1:30" x14ac:dyDescent="0.3">
      <c r="A119" t="s">
        <v>35</v>
      </c>
      <c r="B119">
        <v>2016</v>
      </c>
      <c r="C119" t="s">
        <v>38</v>
      </c>
      <c r="D119">
        <v>126.5</v>
      </c>
      <c r="E119">
        <v>135.1</v>
      </c>
      <c r="F119">
        <v>124.6</v>
      </c>
      <c r="G119">
        <v>130.19999999999999</v>
      </c>
      <c r="H119">
        <v>114.5</v>
      </c>
      <c r="I119">
        <v>126.2</v>
      </c>
      <c r="J119">
        <v>129.80000000000001</v>
      </c>
      <c r="K119">
        <v>164.3</v>
      </c>
      <c r="L119">
        <v>100.9</v>
      </c>
      <c r="M119">
        <v>133.9</v>
      </c>
      <c r="N119">
        <v>123.1</v>
      </c>
      <c r="O119">
        <v>136.30000000000001</v>
      </c>
      <c r="P119">
        <v>129.80000000000001</v>
      </c>
      <c r="Q119">
        <v>136.5</v>
      </c>
      <c r="R119">
        <v>131.30000000000001</v>
      </c>
      <c r="S119">
        <v>126.1</v>
      </c>
      <c r="T119">
        <v>130.5</v>
      </c>
      <c r="U119" t="s">
        <v>82</v>
      </c>
      <c r="V119">
        <v>122.4</v>
      </c>
      <c r="W119">
        <v>125.1</v>
      </c>
      <c r="X119">
        <v>122.9</v>
      </c>
      <c r="Y119">
        <v>110.9</v>
      </c>
      <c r="Z119">
        <v>120.6</v>
      </c>
      <c r="AA119">
        <v>126.9</v>
      </c>
      <c r="AB119">
        <v>117.3</v>
      </c>
      <c r="AC119">
        <v>119.3</v>
      </c>
      <c r="AD119">
        <v>126</v>
      </c>
    </row>
    <row r="120" spans="1:30" x14ac:dyDescent="0.3">
      <c r="A120" t="s">
        <v>30</v>
      </c>
      <c r="B120">
        <v>2016</v>
      </c>
      <c r="C120" t="s">
        <v>39</v>
      </c>
      <c r="D120">
        <v>127.4</v>
      </c>
      <c r="E120">
        <v>135.4</v>
      </c>
      <c r="F120">
        <v>123.4</v>
      </c>
      <c r="G120">
        <v>131.30000000000001</v>
      </c>
      <c r="H120">
        <v>118.2</v>
      </c>
      <c r="I120">
        <v>138.1</v>
      </c>
      <c r="J120">
        <v>134.1</v>
      </c>
      <c r="K120">
        <v>162.69999999999999</v>
      </c>
      <c r="L120">
        <v>105</v>
      </c>
      <c r="M120">
        <v>131.4</v>
      </c>
      <c r="N120">
        <v>125.4</v>
      </c>
      <c r="O120">
        <v>137.4</v>
      </c>
      <c r="P120">
        <v>131.80000000000001</v>
      </c>
      <c r="Q120">
        <v>135.5</v>
      </c>
      <c r="R120">
        <v>135</v>
      </c>
      <c r="S120">
        <v>130.6</v>
      </c>
      <c r="T120">
        <v>134.4</v>
      </c>
      <c r="U120" t="s">
        <v>32</v>
      </c>
      <c r="V120">
        <v>127</v>
      </c>
      <c r="W120">
        <v>128</v>
      </c>
      <c r="X120">
        <v>125.2</v>
      </c>
      <c r="Y120">
        <v>114.4</v>
      </c>
      <c r="Z120">
        <v>123.2</v>
      </c>
      <c r="AA120">
        <v>127.9</v>
      </c>
      <c r="AB120">
        <v>118.4</v>
      </c>
      <c r="AC120">
        <v>121.7</v>
      </c>
      <c r="AD120">
        <v>129</v>
      </c>
    </row>
    <row r="121" spans="1:30" x14ac:dyDescent="0.3">
      <c r="A121" t="s">
        <v>33</v>
      </c>
      <c r="B121">
        <v>2016</v>
      </c>
      <c r="C121" t="s">
        <v>39</v>
      </c>
      <c r="D121">
        <v>124.9</v>
      </c>
      <c r="E121">
        <v>139.30000000000001</v>
      </c>
      <c r="F121">
        <v>119.9</v>
      </c>
      <c r="G121">
        <v>130.19999999999999</v>
      </c>
      <c r="H121">
        <v>108.9</v>
      </c>
      <c r="I121">
        <v>131.1</v>
      </c>
      <c r="J121">
        <v>136.80000000000001</v>
      </c>
      <c r="K121">
        <v>176.9</v>
      </c>
      <c r="L121">
        <v>109.1</v>
      </c>
      <c r="M121">
        <v>140.4</v>
      </c>
      <c r="N121">
        <v>121.1</v>
      </c>
      <c r="O121">
        <v>135.9</v>
      </c>
      <c r="P121">
        <v>131.80000000000001</v>
      </c>
      <c r="Q121">
        <v>141.5</v>
      </c>
      <c r="R121">
        <v>126.8</v>
      </c>
      <c r="S121">
        <v>120.5</v>
      </c>
      <c r="T121">
        <v>125.8</v>
      </c>
      <c r="U121" t="s">
        <v>83</v>
      </c>
      <c r="V121">
        <v>114.6</v>
      </c>
      <c r="W121">
        <v>122.8</v>
      </c>
      <c r="X121">
        <v>120</v>
      </c>
      <c r="Y121">
        <v>110</v>
      </c>
      <c r="Z121">
        <v>119.5</v>
      </c>
      <c r="AA121">
        <v>127.6</v>
      </c>
      <c r="AB121">
        <v>117.6</v>
      </c>
      <c r="AC121">
        <v>118.2</v>
      </c>
      <c r="AD121">
        <v>125.3</v>
      </c>
    </row>
    <row r="122" spans="1:30" x14ac:dyDescent="0.3">
      <c r="A122" t="s">
        <v>35</v>
      </c>
      <c r="B122">
        <v>2016</v>
      </c>
      <c r="C122" t="s">
        <v>39</v>
      </c>
      <c r="D122">
        <v>126.6</v>
      </c>
      <c r="E122">
        <v>136.80000000000001</v>
      </c>
      <c r="F122">
        <v>122</v>
      </c>
      <c r="G122">
        <v>130.9</v>
      </c>
      <c r="H122">
        <v>114.8</v>
      </c>
      <c r="I122">
        <v>134.80000000000001</v>
      </c>
      <c r="J122">
        <v>135</v>
      </c>
      <c r="K122">
        <v>167.5</v>
      </c>
      <c r="L122">
        <v>106.4</v>
      </c>
      <c r="M122">
        <v>134.4</v>
      </c>
      <c r="N122">
        <v>123.6</v>
      </c>
      <c r="O122">
        <v>136.69999999999999</v>
      </c>
      <c r="P122">
        <v>131.80000000000001</v>
      </c>
      <c r="Q122">
        <v>137.1</v>
      </c>
      <c r="R122">
        <v>131.80000000000001</v>
      </c>
      <c r="S122">
        <v>126.4</v>
      </c>
      <c r="T122">
        <v>131</v>
      </c>
      <c r="U122" t="s">
        <v>83</v>
      </c>
      <c r="V122">
        <v>122.3</v>
      </c>
      <c r="W122">
        <v>125.5</v>
      </c>
      <c r="X122">
        <v>123.2</v>
      </c>
      <c r="Y122">
        <v>112.1</v>
      </c>
      <c r="Z122">
        <v>121.1</v>
      </c>
      <c r="AA122">
        <v>127.7</v>
      </c>
      <c r="AB122">
        <v>118.1</v>
      </c>
      <c r="AC122">
        <v>120</v>
      </c>
      <c r="AD122">
        <v>127.3</v>
      </c>
    </row>
    <row r="123" spans="1:30" x14ac:dyDescent="0.3">
      <c r="A123" t="s">
        <v>30</v>
      </c>
      <c r="B123">
        <v>2016</v>
      </c>
      <c r="C123" t="s">
        <v>41</v>
      </c>
      <c r="D123">
        <v>127.6</v>
      </c>
      <c r="E123">
        <v>137.5</v>
      </c>
      <c r="F123">
        <v>124.4</v>
      </c>
      <c r="G123">
        <v>132.4</v>
      </c>
      <c r="H123">
        <v>118.2</v>
      </c>
      <c r="I123">
        <v>138.1</v>
      </c>
      <c r="J123">
        <v>141.80000000000001</v>
      </c>
      <c r="K123">
        <v>166</v>
      </c>
      <c r="L123">
        <v>107.5</v>
      </c>
      <c r="M123">
        <v>132.19999999999999</v>
      </c>
      <c r="N123">
        <v>126.1</v>
      </c>
      <c r="O123">
        <v>138.30000000000001</v>
      </c>
      <c r="P123">
        <v>133.6</v>
      </c>
      <c r="Q123">
        <v>136</v>
      </c>
      <c r="R123">
        <v>135.4</v>
      </c>
      <c r="S123">
        <v>131.1</v>
      </c>
      <c r="T123">
        <v>134.80000000000001</v>
      </c>
      <c r="U123" t="s">
        <v>32</v>
      </c>
      <c r="V123">
        <v>127.4</v>
      </c>
      <c r="W123">
        <v>128.5</v>
      </c>
      <c r="X123">
        <v>125.8</v>
      </c>
      <c r="Y123">
        <v>115.1</v>
      </c>
      <c r="Z123">
        <v>123.6</v>
      </c>
      <c r="AA123">
        <v>129.1</v>
      </c>
      <c r="AB123">
        <v>119.7</v>
      </c>
      <c r="AC123">
        <v>122.5</v>
      </c>
      <c r="AD123">
        <v>130.30000000000001</v>
      </c>
    </row>
    <row r="124" spans="1:30" x14ac:dyDescent="0.3">
      <c r="A124" t="s">
        <v>33</v>
      </c>
      <c r="B124">
        <v>2016</v>
      </c>
      <c r="C124" t="s">
        <v>41</v>
      </c>
      <c r="D124">
        <v>125</v>
      </c>
      <c r="E124">
        <v>142.1</v>
      </c>
      <c r="F124">
        <v>127</v>
      </c>
      <c r="G124">
        <v>130.4</v>
      </c>
      <c r="H124">
        <v>109.6</v>
      </c>
      <c r="I124">
        <v>133.5</v>
      </c>
      <c r="J124">
        <v>151.4</v>
      </c>
      <c r="K124">
        <v>182.8</v>
      </c>
      <c r="L124">
        <v>111.1</v>
      </c>
      <c r="M124">
        <v>141.5</v>
      </c>
      <c r="N124">
        <v>121.5</v>
      </c>
      <c r="O124">
        <v>136.30000000000001</v>
      </c>
      <c r="P124">
        <v>134.6</v>
      </c>
      <c r="Q124">
        <v>142.19999999999999</v>
      </c>
      <c r="R124">
        <v>127.2</v>
      </c>
      <c r="S124">
        <v>120.7</v>
      </c>
      <c r="T124">
        <v>126.2</v>
      </c>
      <c r="U124" t="s">
        <v>84</v>
      </c>
      <c r="V124">
        <v>115</v>
      </c>
      <c r="W124">
        <v>123.2</v>
      </c>
      <c r="X124">
        <v>120.3</v>
      </c>
      <c r="Y124">
        <v>110.7</v>
      </c>
      <c r="Z124">
        <v>119.8</v>
      </c>
      <c r="AA124">
        <v>128</v>
      </c>
      <c r="AB124">
        <v>118.5</v>
      </c>
      <c r="AC124">
        <v>118.7</v>
      </c>
      <c r="AD124">
        <v>126.6</v>
      </c>
    </row>
    <row r="125" spans="1:30" x14ac:dyDescent="0.3">
      <c r="A125" t="s">
        <v>35</v>
      </c>
      <c r="B125">
        <v>2016</v>
      </c>
      <c r="C125" t="s">
        <v>41</v>
      </c>
      <c r="D125">
        <v>126.8</v>
      </c>
      <c r="E125">
        <v>139.1</v>
      </c>
      <c r="F125">
        <v>125.4</v>
      </c>
      <c r="G125">
        <v>131.69999999999999</v>
      </c>
      <c r="H125">
        <v>115</v>
      </c>
      <c r="I125">
        <v>136</v>
      </c>
      <c r="J125">
        <v>145.1</v>
      </c>
      <c r="K125">
        <v>171.7</v>
      </c>
      <c r="L125">
        <v>108.7</v>
      </c>
      <c r="M125">
        <v>135.30000000000001</v>
      </c>
      <c r="N125">
        <v>124.2</v>
      </c>
      <c r="O125">
        <v>137.4</v>
      </c>
      <c r="P125">
        <v>134</v>
      </c>
      <c r="Q125">
        <v>137.69999999999999</v>
      </c>
      <c r="R125">
        <v>132.19999999999999</v>
      </c>
      <c r="S125">
        <v>126.8</v>
      </c>
      <c r="T125">
        <v>131.4</v>
      </c>
      <c r="U125" t="s">
        <v>84</v>
      </c>
      <c r="V125">
        <v>122.7</v>
      </c>
      <c r="W125">
        <v>126</v>
      </c>
      <c r="X125">
        <v>123.7</v>
      </c>
      <c r="Y125">
        <v>112.8</v>
      </c>
      <c r="Z125">
        <v>121.5</v>
      </c>
      <c r="AA125">
        <v>128.5</v>
      </c>
      <c r="AB125">
        <v>119.2</v>
      </c>
      <c r="AC125">
        <v>120.7</v>
      </c>
      <c r="AD125">
        <v>128.6</v>
      </c>
    </row>
    <row r="126" spans="1:30" x14ac:dyDescent="0.3">
      <c r="A126" t="s">
        <v>30</v>
      </c>
      <c r="B126">
        <v>2016</v>
      </c>
      <c r="C126" t="s">
        <v>42</v>
      </c>
      <c r="D126">
        <v>128.6</v>
      </c>
      <c r="E126">
        <v>138.6</v>
      </c>
      <c r="F126">
        <v>126.6</v>
      </c>
      <c r="G126">
        <v>133.6</v>
      </c>
      <c r="H126">
        <v>118.6</v>
      </c>
      <c r="I126">
        <v>137.4</v>
      </c>
      <c r="J126">
        <v>152.5</v>
      </c>
      <c r="K126">
        <v>169.2</v>
      </c>
      <c r="L126">
        <v>108.8</v>
      </c>
      <c r="M126">
        <v>133.1</v>
      </c>
      <c r="N126">
        <v>126.4</v>
      </c>
      <c r="O126">
        <v>139.19999999999999</v>
      </c>
      <c r="P126">
        <v>136</v>
      </c>
      <c r="Q126">
        <v>137.19999999999999</v>
      </c>
      <c r="R126">
        <v>136.30000000000001</v>
      </c>
      <c r="S126">
        <v>131.6</v>
      </c>
      <c r="T126">
        <v>135.6</v>
      </c>
      <c r="U126" t="s">
        <v>32</v>
      </c>
      <c r="V126">
        <v>128</v>
      </c>
      <c r="W126">
        <v>129.30000000000001</v>
      </c>
      <c r="X126">
        <v>126.2</v>
      </c>
      <c r="Y126">
        <v>116.3</v>
      </c>
      <c r="Z126">
        <v>124.1</v>
      </c>
      <c r="AA126">
        <v>130.19999999999999</v>
      </c>
      <c r="AB126">
        <v>119.9</v>
      </c>
      <c r="AC126">
        <v>123.3</v>
      </c>
      <c r="AD126">
        <v>131.9</v>
      </c>
    </row>
    <row r="127" spans="1:30" x14ac:dyDescent="0.3">
      <c r="A127" t="s">
        <v>33</v>
      </c>
      <c r="B127">
        <v>2016</v>
      </c>
      <c r="C127" t="s">
        <v>42</v>
      </c>
      <c r="D127">
        <v>125.9</v>
      </c>
      <c r="E127">
        <v>143.9</v>
      </c>
      <c r="F127">
        <v>130.9</v>
      </c>
      <c r="G127">
        <v>131</v>
      </c>
      <c r="H127">
        <v>110.2</v>
      </c>
      <c r="I127">
        <v>135.5</v>
      </c>
      <c r="J127">
        <v>173.7</v>
      </c>
      <c r="K127">
        <v>184.4</v>
      </c>
      <c r="L127">
        <v>112</v>
      </c>
      <c r="M127">
        <v>142.80000000000001</v>
      </c>
      <c r="N127">
        <v>121.6</v>
      </c>
      <c r="O127">
        <v>136.9</v>
      </c>
      <c r="P127">
        <v>138.19999999999999</v>
      </c>
      <c r="Q127">
        <v>142.69999999999999</v>
      </c>
      <c r="R127">
        <v>127.6</v>
      </c>
      <c r="S127">
        <v>121.1</v>
      </c>
      <c r="T127">
        <v>126.6</v>
      </c>
      <c r="U127" t="s">
        <v>85</v>
      </c>
      <c r="V127">
        <v>115.5</v>
      </c>
      <c r="W127">
        <v>123.2</v>
      </c>
      <c r="X127">
        <v>120.6</v>
      </c>
      <c r="Y127">
        <v>112.3</v>
      </c>
      <c r="Z127">
        <v>119.9</v>
      </c>
      <c r="AA127">
        <v>129.30000000000001</v>
      </c>
      <c r="AB127">
        <v>118.8</v>
      </c>
      <c r="AC127">
        <v>119.6</v>
      </c>
      <c r="AD127">
        <v>128.1</v>
      </c>
    </row>
    <row r="128" spans="1:30" x14ac:dyDescent="0.3">
      <c r="A128" t="s">
        <v>35</v>
      </c>
      <c r="B128">
        <v>2016</v>
      </c>
      <c r="C128" t="s">
        <v>42</v>
      </c>
      <c r="D128">
        <v>127.7</v>
      </c>
      <c r="E128">
        <v>140.5</v>
      </c>
      <c r="F128">
        <v>128.30000000000001</v>
      </c>
      <c r="G128">
        <v>132.6</v>
      </c>
      <c r="H128">
        <v>115.5</v>
      </c>
      <c r="I128">
        <v>136.5</v>
      </c>
      <c r="J128">
        <v>159.69999999999999</v>
      </c>
      <c r="K128">
        <v>174.3</v>
      </c>
      <c r="L128">
        <v>109.9</v>
      </c>
      <c r="M128">
        <v>136.30000000000001</v>
      </c>
      <c r="N128">
        <v>124.4</v>
      </c>
      <c r="O128">
        <v>138.1</v>
      </c>
      <c r="P128">
        <v>136.80000000000001</v>
      </c>
      <c r="Q128">
        <v>138.69999999999999</v>
      </c>
      <c r="R128">
        <v>132.9</v>
      </c>
      <c r="S128">
        <v>127.2</v>
      </c>
      <c r="T128">
        <v>132</v>
      </c>
      <c r="U128" t="s">
        <v>85</v>
      </c>
      <c r="V128">
        <v>123.3</v>
      </c>
      <c r="W128">
        <v>126.4</v>
      </c>
      <c r="X128">
        <v>124.1</v>
      </c>
      <c r="Y128">
        <v>114.2</v>
      </c>
      <c r="Z128">
        <v>121.7</v>
      </c>
      <c r="AA128">
        <v>129.69999999999999</v>
      </c>
      <c r="AB128">
        <v>119.4</v>
      </c>
      <c r="AC128">
        <v>121.5</v>
      </c>
      <c r="AD128">
        <v>130.1</v>
      </c>
    </row>
    <row r="129" spans="1:30" x14ac:dyDescent="0.3">
      <c r="A129" t="s">
        <v>30</v>
      </c>
      <c r="B129">
        <v>2016</v>
      </c>
      <c r="C129" t="s">
        <v>44</v>
      </c>
      <c r="D129">
        <v>129.30000000000001</v>
      </c>
      <c r="E129">
        <v>139.5</v>
      </c>
      <c r="F129">
        <v>129.6</v>
      </c>
      <c r="G129">
        <v>134.5</v>
      </c>
      <c r="H129">
        <v>119.5</v>
      </c>
      <c r="I129">
        <v>138.5</v>
      </c>
      <c r="J129">
        <v>158.19999999999999</v>
      </c>
      <c r="K129">
        <v>171.8</v>
      </c>
      <c r="L129">
        <v>110.3</v>
      </c>
      <c r="M129">
        <v>134.30000000000001</v>
      </c>
      <c r="N129">
        <v>127.3</v>
      </c>
      <c r="O129">
        <v>139.9</v>
      </c>
      <c r="P129">
        <v>137.6</v>
      </c>
      <c r="Q129">
        <v>138</v>
      </c>
      <c r="R129">
        <v>137.19999999999999</v>
      </c>
      <c r="S129">
        <v>132.19999999999999</v>
      </c>
      <c r="T129">
        <v>136.5</v>
      </c>
      <c r="U129" t="s">
        <v>32</v>
      </c>
      <c r="V129">
        <v>128.19999999999999</v>
      </c>
      <c r="W129">
        <v>130</v>
      </c>
      <c r="X129">
        <v>126.7</v>
      </c>
      <c r="Y129">
        <v>116.4</v>
      </c>
      <c r="Z129">
        <v>125.2</v>
      </c>
      <c r="AA129">
        <v>130.80000000000001</v>
      </c>
      <c r="AB129">
        <v>120.9</v>
      </c>
      <c r="AC129">
        <v>123.8</v>
      </c>
      <c r="AD129">
        <v>133</v>
      </c>
    </row>
    <row r="130" spans="1:30" x14ac:dyDescent="0.3">
      <c r="A130" t="s">
        <v>33</v>
      </c>
      <c r="B130">
        <v>2016</v>
      </c>
      <c r="C130" t="s">
        <v>44</v>
      </c>
      <c r="D130">
        <v>126.8</v>
      </c>
      <c r="E130">
        <v>144.19999999999999</v>
      </c>
      <c r="F130">
        <v>136.6</v>
      </c>
      <c r="G130">
        <v>131.80000000000001</v>
      </c>
      <c r="H130">
        <v>111</v>
      </c>
      <c r="I130">
        <v>137</v>
      </c>
      <c r="J130">
        <v>179.5</v>
      </c>
      <c r="K130">
        <v>188.4</v>
      </c>
      <c r="L130">
        <v>113.3</v>
      </c>
      <c r="M130">
        <v>143.9</v>
      </c>
      <c r="N130">
        <v>121.7</v>
      </c>
      <c r="O130">
        <v>137.5</v>
      </c>
      <c r="P130">
        <v>139.80000000000001</v>
      </c>
      <c r="Q130">
        <v>142.9</v>
      </c>
      <c r="R130">
        <v>127.9</v>
      </c>
      <c r="S130">
        <v>121.1</v>
      </c>
      <c r="T130">
        <v>126.9</v>
      </c>
      <c r="U130" t="s">
        <v>86</v>
      </c>
      <c r="V130">
        <v>115.5</v>
      </c>
      <c r="W130">
        <v>123.5</v>
      </c>
      <c r="X130">
        <v>120.9</v>
      </c>
      <c r="Y130">
        <v>111.7</v>
      </c>
      <c r="Z130">
        <v>120.3</v>
      </c>
      <c r="AA130">
        <v>130.80000000000001</v>
      </c>
      <c r="AB130">
        <v>120</v>
      </c>
      <c r="AC130">
        <v>119.9</v>
      </c>
      <c r="AD130">
        <v>129</v>
      </c>
    </row>
    <row r="131" spans="1:30" x14ac:dyDescent="0.3">
      <c r="A131" t="s">
        <v>35</v>
      </c>
      <c r="B131">
        <v>2016</v>
      </c>
      <c r="C131" t="s">
        <v>44</v>
      </c>
      <c r="D131">
        <v>128.5</v>
      </c>
      <c r="E131">
        <v>141.19999999999999</v>
      </c>
      <c r="F131">
        <v>132.30000000000001</v>
      </c>
      <c r="G131">
        <v>133.5</v>
      </c>
      <c r="H131">
        <v>116.4</v>
      </c>
      <c r="I131">
        <v>137.80000000000001</v>
      </c>
      <c r="J131">
        <v>165.4</v>
      </c>
      <c r="K131">
        <v>177.4</v>
      </c>
      <c r="L131">
        <v>111.3</v>
      </c>
      <c r="M131">
        <v>137.5</v>
      </c>
      <c r="N131">
        <v>125</v>
      </c>
      <c r="O131">
        <v>138.80000000000001</v>
      </c>
      <c r="P131">
        <v>138.4</v>
      </c>
      <c r="Q131">
        <v>139.30000000000001</v>
      </c>
      <c r="R131">
        <v>133.5</v>
      </c>
      <c r="S131">
        <v>127.6</v>
      </c>
      <c r="T131">
        <v>132.69999999999999</v>
      </c>
      <c r="U131" t="s">
        <v>86</v>
      </c>
      <c r="V131">
        <v>123.4</v>
      </c>
      <c r="W131">
        <v>126.9</v>
      </c>
      <c r="X131">
        <v>124.5</v>
      </c>
      <c r="Y131">
        <v>113.9</v>
      </c>
      <c r="Z131">
        <v>122.4</v>
      </c>
      <c r="AA131">
        <v>130.80000000000001</v>
      </c>
      <c r="AB131">
        <v>120.5</v>
      </c>
      <c r="AC131">
        <v>121.9</v>
      </c>
      <c r="AD131">
        <v>131.1</v>
      </c>
    </row>
    <row r="132" spans="1:30" x14ac:dyDescent="0.3">
      <c r="A132" t="s">
        <v>30</v>
      </c>
      <c r="B132">
        <v>2016</v>
      </c>
      <c r="C132" t="s">
        <v>46</v>
      </c>
      <c r="D132">
        <v>130.1</v>
      </c>
      <c r="E132">
        <v>138.80000000000001</v>
      </c>
      <c r="F132">
        <v>130.30000000000001</v>
      </c>
      <c r="G132">
        <v>135.30000000000001</v>
      </c>
      <c r="H132">
        <v>119.9</v>
      </c>
      <c r="I132">
        <v>140.19999999999999</v>
      </c>
      <c r="J132">
        <v>156.9</v>
      </c>
      <c r="K132">
        <v>172.2</v>
      </c>
      <c r="L132">
        <v>112.1</v>
      </c>
      <c r="M132">
        <v>134.9</v>
      </c>
      <c r="N132">
        <v>128.1</v>
      </c>
      <c r="O132">
        <v>140.69999999999999</v>
      </c>
      <c r="P132">
        <v>138</v>
      </c>
      <c r="Q132">
        <v>138.9</v>
      </c>
      <c r="R132">
        <v>137.80000000000001</v>
      </c>
      <c r="S132">
        <v>133</v>
      </c>
      <c r="T132">
        <v>137.1</v>
      </c>
      <c r="U132" t="s">
        <v>32</v>
      </c>
      <c r="V132">
        <v>129.1</v>
      </c>
      <c r="W132">
        <v>130.6</v>
      </c>
      <c r="X132">
        <v>127</v>
      </c>
      <c r="Y132">
        <v>116</v>
      </c>
      <c r="Z132">
        <v>125.5</v>
      </c>
      <c r="AA132">
        <v>131.9</v>
      </c>
      <c r="AB132">
        <v>122</v>
      </c>
      <c r="AC132">
        <v>124.2</v>
      </c>
      <c r="AD132">
        <v>133.5</v>
      </c>
    </row>
    <row r="133" spans="1:30" x14ac:dyDescent="0.3">
      <c r="A133" t="s">
        <v>33</v>
      </c>
      <c r="B133">
        <v>2016</v>
      </c>
      <c r="C133" t="s">
        <v>46</v>
      </c>
      <c r="D133">
        <v>127.6</v>
      </c>
      <c r="E133">
        <v>140.30000000000001</v>
      </c>
      <c r="F133">
        <v>133.69999999999999</v>
      </c>
      <c r="G133">
        <v>132.19999999999999</v>
      </c>
      <c r="H133">
        <v>111.8</v>
      </c>
      <c r="I133">
        <v>135.80000000000001</v>
      </c>
      <c r="J133">
        <v>163.5</v>
      </c>
      <c r="K133">
        <v>182.3</v>
      </c>
      <c r="L133">
        <v>114.6</v>
      </c>
      <c r="M133">
        <v>144.6</v>
      </c>
      <c r="N133">
        <v>121.9</v>
      </c>
      <c r="O133">
        <v>138.1</v>
      </c>
      <c r="P133">
        <v>137.6</v>
      </c>
      <c r="Q133">
        <v>143.6</v>
      </c>
      <c r="R133">
        <v>128.30000000000001</v>
      </c>
      <c r="S133">
        <v>121.4</v>
      </c>
      <c r="T133">
        <v>127.3</v>
      </c>
      <c r="U133" t="s">
        <v>87</v>
      </c>
      <c r="V133">
        <v>114.7</v>
      </c>
      <c r="W133">
        <v>123.9</v>
      </c>
      <c r="X133">
        <v>121.2</v>
      </c>
      <c r="Y133">
        <v>110.4</v>
      </c>
      <c r="Z133">
        <v>120.6</v>
      </c>
      <c r="AA133">
        <v>131.5</v>
      </c>
      <c r="AB133">
        <v>120.9</v>
      </c>
      <c r="AC133">
        <v>119.9</v>
      </c>
      <c r="AD133">
        <v>128.4</v>
      </c>
    </row>
    <row r="134" spans="1:30" x14ac:dyDescent="0.3">
      <c r="A134" t="s">
        <v>35</v>
      </c>
      <c r="B134">
        <v>2016</v>
      </c>
      <c r="C134" t="s">
        <v>46</v>
      </c>
      <c r="D134">
        <v>129.30000000000001</v>
      </c>
      <c r="E134">
        <v>139.30000000000001</v>
      </c>
      <c r="F134">
        <v>131.6</v>
      </c>
      <c r="G134">
        <v>134.1</v>
      </c>
      <c r="H134">
        <v>116.9</v>
      </c>
      <c r="I134">
        <v>138.1</v>
      </c>
      <c r="J134">
        <v>159.1</v>
      </c>
      <c r="K134">
        <v>175.6</v>
      </c>
      <c r="L134">
        <v>112.9</v>
      </c>
      <c r="M134">
        <v>138.1</v>
      </c>
      <c r="N134">
        <v>125.5</v>
      </c>
      <c r="O134">
        <v>139.5</v>
      </c>
      <c r="P134">
        <v>137.9</v>
      </c>
      <c r="Q134">
        <v>140.19999999999999</v>
      </c>
      <c r="R134">
        <v>134.1</v>
      </c>
      <c r="S134">
        <v>128.19999999999999</v>
      </c>
      <c r="T134">
        <v>133.19999999999999</v>
      </c>
      <c r="U134" t="s">
        <v>87</v>
      </c>
      <c r="V134">
        <v>123.6</v>
      </c>
      <c r="W134">
        <v>127.4</v>
      </c>
      <c r="X134">
        <v>124.8</v>
      </c>
      <c r="Y134">
        <v>113.1</v>
      </c>
      <c r="Z134">
        <v>122.7</v>
      </c>
      <c r="AA134">
        <v>131.69999999999999</v>
      </c>
      <c r="AB134">
        <v>121.5</v>
      </c>
      <c r="AC134">
        <v>122.1</v>
      </c>
      <c r="AD134">
        <v>131.1</v>
      </c>
    </row>
    <row r="135" spans="1:30" x14ac:dyDescent="0.3">
      <c r="A135" t="s">
        <v>30</v>
      </c>
      <c r="B135">
        <v>2016</v>
      </c>
      <c r="C135" t="s">
        <v>48</v>
      </c>
      <c r="D135">
        <v>130.80000000000001</v>
      </c>
      <c r="E135">
        <v>138.19999999999999</v>
      </c>
      <c r="F135">
        <v>130.5</v>
      </c>
      <c r="G135">
        <v>135.5</v>
      </c>
      <c r="H135">
        <v>120.2</v>
      </c>
      <c r="I135">
        <v>139.19999999999999</v>
      </c>
      <c r="J135">
        <v>149.5</v>
      </c>
      <c r="K135">
        <v>170.4</v>
      </c>
      <c r="L135">
        <v>113.1</v>
      </c>
      <c r="M135">
        <v>135.80000000000001</v>
      </c>
      <c r="N135">
        <v>128.80000000000001</v>
      </c>
      <c r="O135">
        <v>141.5</v>
      </c>
      <c r="P135">
        <v>137.19999999999999</v>
      </c>
      <c r="Q135">
        <v>139.9</v>
      </c>
      <c r="R135">
        <v>138.5</v>
      </c>
      <c r="S135">
        <v>133.5</v>
      </c>
      <c r="T135">
        <v>137.80000000000001</v>
      </c>
      <c r="U135" t="s">
        <v>32</v>
      </c>
      <c r="V135">
        <v>129.69999999999999</v>
      </c>
      <c r="W135">
        <v>131.1</v>
      </c>
      <c r="X135">
        <v>127.8</v>
      </c>
      <c r="Y135">
        <v>117</v>
      </c>
      <c r="Z135">
        <v>125.7</v>
      </c>
      <c r="AA135">
        <v>132.19999999999999</v>
      </c>
      <c r="AB135">
        <v>122.8</v>
      </c>
      <c r="AC135">
        <v>124.9</v>
      </c>
      <c r="AD135">
        <v>133.4</v>
      </c>
    </row>
    <row r="136" spans="1:30" x14ac:dyDescent="0.3">
      <c r="A136" t="s">
        <v>33</v>
      </c>
      <c r="B136">
        <v>2016</v>
      </c>
      <c r="C136" t="s">
        <v>48</v>
      </c>
      <c r="D136">
        <v>128.1</v>
      </c>
      <c r="E136">
        <v>137.69999999999999</v>
      </c>
      <c r="F136">
        <v>130.6</v>
      </c>
      <c r="G136">
        <v>132.6</v>
      </c>
      <c r="H136">
        <v>111.9</v>
      </c>
      <c r="I136">
        <v>132.5</v>
      </c>
      <c r="J136">
        <v>152.9</v>
      </c>
      <c r="K136">
        <v>173.6</v>
      </c>
      <c r="L136">
        <v>115.1</v>
      </c>
      <c r="M136">
        <v>144.80000000000001</v>
      </c>
      <c r="N136">
        <v>122.1</v>
      </c>
      <c r="O136">
        <v>138.80000000000001</v>
      </c>
      <c r="P136">
        <v>135.69999999999999</v>
      </c>
      <c r="Q136">
        <v>143.9</v>
      </c>
      <c r="R136">
        <v>128.69999999999999</v>
      </c>
      <c r="S136">
        <v>121.6</v>
      </c>
      <c r="T136">
        <v>127.7</v>
      </c>
      <c r="U136" t="s">
        <v>88</v>
      </c>
      <c r="V136">
        <v>114.8</v>
      </c>
      <c r="W136">
        <v>124.3</v>
      </c>
      <c r="X136">
        <v>121.4</v>
      </c>
      <c r="Y136">
        <v>111.8</v>
      </c>
      <c r="Z136">
        <v>120.8</v>
      </c>
      <c r="AA136">
        <v>131.6</v>
      </c>
      <c r="AB136">
        <v>121.2</v>
      </c>
      <c r="AC136">
        <v>120.5</v>
      </c>
      <c r="AD136">
        <v>128</v>
      </c>
    </row>
    <row r="137" spans="1:30" x14ac:dyDescent="0.3">
      <c r="A137" t="s">
        <v>35</v>
      </c>
      <c r="B137">
        <v>2016</v>
      </c>
      <c r="C137" t="s">
        <v>48</v>
      </c>
      <c r="D137">
        <v>129.9</v>
      </c>
      <c r="E137">
        <v>138</v>
      </c>
      <c r="F137">
        <v>130.5</v>
      </c>
      <c r="G137">
        <v>134.4</v>
      </c>
      <c r="H137">
        <v>117.2</v>
      </c>
      <c r="I137">
        <v>136.1</v>
      </c>
      <c r="J137">
        <v>150.69999999999999</v>
      </c>
      <c r="K137">
        <v>171.5</v>
      </c>
      <c r="L137">
        <v>113.8</v>
      </c>
      <c r="M137">
        <v>138.80000000000001</v>
      </c>
      <c r="N137">
        <v>126</v>
      </c>
      <c r="O137">
        <v>140.19999999999999</v>
      </c>
      <c r="P137">
        <v>136.6</v>
      </c>
      <c r="Q137">
        <v>141</v>
      </c>
      <c r="R137">
        <v>134.6</v>
      </c>
      <c r="S137">
        <v>128.6</v>
      </c>
      <c r="T137">
        <v>133.80000000000001</v>
      </c>
      <c r="U137" t="s">
        <v>88</v>
      </c>
      <c r="V137">
        <v>124.1</v>
      </c>
      <c r="W137">
        <v>127.9</v>
      </c>
      <c r="X137">
        <v>125.4</v>
      </c>
      <c r="Y137">
        <v>114.3</v>
      </c>
      <c r="Z137">
        <v>122.9</v>
      </c>
      <c r="AA137">
        <v>131.80000000000001</v>
      </c>
      <c r="AB137">
        <v>122.1</v>
      </c>
      <c r="AC137">
        <v>122.8</v>
      </c>
      <c r="AD137">
        <v>130.9</v>
      </c>
    </row>
    <row r="138" spans="1:30" x14ac:dyDescent="0.3">
      <c r="A138" t="s">
        <v>30</v>
      </c>
      <c r="B138">
        <v>2016</v>
      </c>
      <c r="C138" t="s">
        <v>50</v>
      </c>
      <c r="D138">
        <v>131.30000000000001</v>
      </c>
      <c r="E138">
        <v>137.6</v>
      </c>
      <c r="F138">
        <v>130.1</v>
      </c>
      <c r="G138">
        <v>136</v>
      </c>
      <c r="H138">
        <v>120.8</v>
      </c>
      <c r="I138">
        <v>138.4</v>
      </c>
      <c r="J138">
        <v>149.19999999999999</v>
      </c>
      <c r="K138">
        <v>170.2</v>
      </c>
      <c r="L138">
        <v>113.4</v>
      </c>
      <c r="M138">
        <v>136.30000000000001</v>
      </c>
      <c r="N138">
        <v>128.69999999999999</v>
      </c>
      <c r="O138">
        <v>142.4</v>
      </c>
      <c r="P138">
        <v>137.4</v>
      </c>
      <c r="Q138">
        <v>140.9</v>
      </c>
      <c r="R138">
        <v>139.6</v>
      </c>
      <c r="S138">
        <v>134.30000000000001</v>
      </c>
      <c r="T138">
        <v>138.80000000000001</v>
      </c>
      <c r="U138" t="s">
        <v>32</v>
      </c>
      <c r="V138">
        <v>129.80000000000001</v>
      </c>
      <c r="W138">
        <v>131.80000000000001</v>
      </c>
      <c r="X138">
        <v>128.69999999999999</v>
      </c>
      <c r="Y138">
        <v>117.8</v>
      </c>
      <c r="Z138">
        <v>126.5</v>
      </c>
      <c r="AA138">
        <v>133</v>
      </c>
      <c r="AB138">
        <v>123</v>
      </c>
      <c r="AC138">
        <v>125.7</v>
      </c>
      <c r="AD138">
        <v>133.80000000000001</v>
      </c>
    </row>
    <row r="139" spans="1:30" x14ac:dyDescent="0.3">
      <c r="A139" t="s">
        <v>33</v>
      </c>
      <c r="B139">
        <v>2016</v>
      </c>
      <c r="C139" t="s">
        <v>50</v>
      </c>
      <c r="D139">
        <v>128.69999999999999</v>
      </c>
      <c r="E139">
        <v>138.4</v>
      </c>
      <c r="F139">
        <v>130.30000000000001</v>
      </c>
      <c r="G139">
        <v>132.69999999999999</v>
      </c>
      <c r="H139">
        <v>112.5</v>
      </c>
      <c r="I139">
        <v>130.4</v>
      </c>
      <c r="J139">
        <v>155.1</v>
      </c>
      <c r="K139">
        <v>175.7</v>
      </c>
      <c r="L139">
        <v>115.4</v>
      </c>
      <c r="M139">
        <v>145.30000000000001</v>
      </c>
      <c r="N139">
        <v>122.5</v>
      </c>
      <c r="O139">
        <v>139.6</v>
      </c>
      <c r="P139">
        <v>136.30000000000001</v>
      </c>
      <c r="Q139">
        <v>144.30000000000001</v>
      </c>
      <c r="R139">
        <v>129.1</v>
      </c>
      <c r="S139">
        <v>121.9</v>
      </c>
      <c r="T139">
        <v>128</v>
      </c>
      <c r="U139" t="s">
        <v>89</v>
      </c>
      <c r="V139">
        <v>115.2</v>
      </c>
      <c r="W139">
        <v>124.5</v>
      </c>
      <c r="X139">
        <v>121.8</v>
      </c>
      <c r="Y139">
        <v>112.8</v>
      </c>
      <c r="Z139">
        <v>121.2</v>
      </c>
      <c r="AA139">
        <v>131.9</v>
      </c>
      <c r="AB139">
        <v>120.8</v>
      </c>
      <c r="AC139">
        <v>120.9</v>
      </c>
      <c r="AD139">
        <v>128.6</v>
      </c>
    </row>
    <row r="140" spans="1:30" x14ac:dyDescent="0.3">
      <c r="A140" t="s">
        <v>35</v>
      </c>
      <c r="B140">
        <v>2016</v>
      </c>
      <c r="C140" t="s">
        <v>50</v>
      </c>
      <c r="D140">
        <v>130.5</v>
      </c>
      <c r="E140">
        <v>137.9</v>
      </c>
      <c r="F140">
        <v>130.19999999999999</v>
      </c>
      <c r="G140">
        <v>134.80000000000001</v>
      </c>
      <c r="H140">
        <v>117.8</v>
      </c>
      <c r="I140">
        <v>134.69999999999999</v>
      </c>
      <c r="J140">
        <v>151.19999999999999</v>
      </c>
      <c r="K140">
        <v>172.1</v>
      </c>
      <c r="L140">
        <v>114.1</v>
      </c>
      <c r="M140">
        <v>139.30000000000001</v>
      </c>
      <c r="N140">
        <v>126.1</v>
      </c>
      <c r="O140">
        <v>141.1</v>
      </c>
      <c r="P140">
        <v>137</v>
      </c>
      <c r="Q140">
        <v>141.80000000000001</v>
      </c>
      <c r="R140">
        <v>135.5</v>
      </c>
      <c r="S140">
        <v>129.1</v>
      </c>
      <c r="T140">
        <v>134.5</v>
      </c>
      <c r="U140" t="s">
        <v>89</v>
      </c>
      <c r="V140">
        <v>124.3</v>
      </c>
      <c r="W140">
        <v>128.4</v>
      </c>
      <c r="X140">
        <v>126.1</v>
      </c>
      <c r="Y140">
        <v>115.2</v>
      </c>
      <c r="Z140">
        <v>123.5</v>
      </c>
      <c r="AA140">
        <v>132.4</v>
      </c>
      <c r="AB140">
        <v>122.1</v>
      </c>
      <c r="AC140">
        <v>123.4</v>
      </c>
      <c r="AD140">
        <v>131.4</v>
      </c>
    </row>
    <row r="141" spans="1:30" x14ac:dyDescent="0.3">
      <c r="A141" t="s">
        <v>30</v>
      </c>
      <c r="B141">
        <v>2016</v>
      </c>
      <c r="C141" t="s">
        <v>53</v>
      </c>
      <c r="D141">
        <v>132</v>
      </c>
      <c r="E141">
        <v>137.4</v>
      </c>
      <c r="F141">
        <v>130.6</v>
      </c>
      <c r="G141">
        <v>136.19999999999999</v>
      </c>
      <c r="H141">
        <v>121.1</v>
      </c>
      <c r="I141">
        <v>136.9</v>
      </c>
      <c r="J141">
        <v>141.80000000000001</v>
      </c>
      <c r="K141">
        <v>170</v>
      </c>
      <c r="L141">
        <v>113.4</v>
      </c>
      <c r="M141">
        <v>136.80000000000001</v>
      </c>
      <c r="N141">
        <v>128.69999999999999</v>
      </c>
      <c r="O141">
        <v>143.1</v>
      </c>
      <c r="P141">
        <v>136.6</v>
      </c>
      <c r="Q141">
        <v>141.19999999999999</v>
      </c>
      <c r="R141">
        <v>139.9</v>
      </c>
      <c r="S141">
        <v>134.5</v>
      </c>
      <c r="T141">
        <v>139.19999999999999</v>
      </c>
      <c r="U141" t="s">
        <v>32</v>
      </c>
      <c r="V141">
        <v>130.30000000000001</v>
      </c>
      <c r="W141">
        <v>132.1</v>
      </c>
      <c r="X141">
        <v>129.1</v>
      </c>
      <c r="Y141">
        <v>118.2</v>
      </c>
      <c r="Z141">
        <v>126.9</v>
      </c>
      <c r="AA141">
        <v>133.69999999999999</v>
      </c>
      <c r="AB141">
        <v>123.5</v>
      </c>
      <c r="AC141">
        <v>126.1</v>
      </c>
      <c r="AD141">
        <v>133.6</v>
      </c>
    </row>
    <row r="142" spans="1:30" x14ac:dyDescent="0.3">
      <c r="A142" t="s">
        <v>33</v>
      </c>
      <c r="B142">
        <v>2016</v>
      </c>
      <c r="C142" t="s">
        <v>53</v>
      </c>
      <c r="D142">
        <v>130.19999999999999</v>
      </c>
      <c r="E142">
        <v>138.5</v>
      </c>
      <c r="F142">
        <v>134.1</v>
      </c>
      <c r="G142">
        <v>132.9</v>
      </c>
      <c r="H142">
        <v>112.6</v>
      </c>
      <c r="I142">
        <v>130.80000000000001</v>
      </c>
      <c r="J142">
        <v>142</v>
      </c>
      <c r="K142">
        <v>174.9</v>
      </c>
      <c r="L142">
        <v>115.6</v>
      </c>
      <c r="M142">
        <v>145.4</v>
      </c>
      <c r="N142">
        <v>122.7</v>
      </c>
      <c r="O142">
        <v>140.30000000000001</v>
      </c>
      <c r="P142">
        <v>135.19999999999999</v>
      </c>
      <c r="Q142">
        <v>144.30000000000001</v>
      </c>
      <c r="R142">
        <v>129.6</v>
      </c>
      <c r="S142">
        <v>122.1</v>
      </c>
      <c r="T142">
        <v>128.5</v>
      </c>
      <c r="U142" t="s">
        <v>90</v>
      </c>
      <c r="V142">
        <v>116.2</v>
      </c>
      <c r="W142">
        <v>124.7</v>
      </c>
      <c r="X142">
        <v>122.1</v>
      </c>
      <c r="Y142">
        <v>113.4</v>
      </c>
      <c r="Z142">
        <v>121.7</v>
      </c>
      <c r="AA142">
        <v>132.1</v>
      </c>
      <c r="AB142">
        <v>121.3</v>
      </c>
      <c r="AC142">
        <v>121.3</v>
      </c>
      <c r="AD142">
        <v>128.5</v>
      </c>
    </row>
    <row r="143" spans="1:30" x14ac:dyDescent="0.3">
      <c r="A143" t="s">
        <v>35</v>
      </c>
      <c r="B143">
        <v>2016</v>
      </c>
      <c r="C143" t="s">
        <v>53</v>
      </c>
      <c r="D143">
        <v>131.4</v>
      </c>
      <c r="E143">
        <v>137.80000000000001</v>
      </c>
      <c r="F143">
        <v>132</v>
      </c>
      <c r="G143">
        <v>135</v>
      </c>
      <c r="H143">
        <v>118</v>
      </c>
      <c r="I143">
        <v>134.1</v>
      </c>
      <c r="J143">
        <v>141.9</v>
      </c>
      <c r="K143">
        <v>171.7</v>
      </c>
      <c r="L143">
        <v>114.1</v>
      </c>
      <c r="M143">
        <v>139.69999999999999</v>
      </c>
      <c r="N143">
        <v>126.2</v>
      </c>
      <c r="O143">
        <v>141.80000000000001</v>
      </c>
      <c r="P143">
        <v>136.1</v>
      </c>
      <c r="Q143">
        <v>142</v>
      </c>
      <c r="R143">
        <v>135.80000000000001</v>
      </c>
      <c r="S143">
        <v>129.30000000000001</v>
      </c>
      <c r="T143">
        <v>135</v>
      </c>
      <c r="U143" t="s">
        <v>90</v>
      </c>
      <c r="V143">
        <v>125</v>
      </c>
      <c r="W143">
        <v>128.6</v>
      </c>
      <c r="X143">
        <v>126.4</v>
      </c>
      <c r="Y143">
        <v>115.7</v>
      </c>
      <c r="Z143">
        <v>124</v>
      </c>
      <c r="AA143">
        <v>132.80000000000001</v>
      </c>
      <c r="AB143">
        <v>122.6</v>
      </c>
      <c r="AC143">
        <v>123.8</v>
      </c>
      <c r="AD143">
        <v>131.19999999999999</v>
      </c>
    </row>
    <row r="144" spans="1:30" x14ac:dyDescent="0.3">
      <c r="A144" t="s">
        <v>30</v>
      </c>
      <c r="B144">
        <v>2016</v>
      </c>
      <c r="C144" t="s">
        <v>55</v>
      </c>
      <c r="D144">
        <v>132.6</v>
      </c>
      <c r="E144">
        <v>137.30000000000001</v>
      </c>
      <c r="F144">
        <v>131.6</v>
      </c>
      <c r="G144">
        <v>136.30000000000001</v>
      </c>
      <c r="H144">
        <v>121.6</v>
      </c>
      <c r="I144">
        <v>135.6</v>
      </c>
      <c r="J144">
        <v>127.5</v>
      </c>
      <c r="K144">
        <v>167.9</v>
      </c>
      <c r="L144">
        <v>113.8</v>
      </c>
      <c r="M144">
        <v>137.5</v>
      </c>
      <c r="N144">
        <v>129.1</v>
      </c>
      <c r="O144">
        <v>143.6</v>
      </c>
      <c r="P144">
        <v>134.69999999999999</v>
      </c>
      <c r="Q144">
        <v>142.4</v>
      </c>
      <c r="R144">
        <v>140.4</v>
      </c>
      <c r="S144">
        <v>135.19999999999999</v>
      </c>
      <c r="T144">
        <v>139.69999999999999</v>
      </c>
      <c r="U144" t="s">
        <v>32</v>
      </c>
      <c r="V144">
        <v>132</v>
      </c>
      <c r="W144">
        <v>132.9</v>
      </c>
      <c r="X144">
        <v>129.69999999999999</v>
      </c>
      <c r="Y144">
        <v>118.6</v>
      </c>
      <c r="Z144">
        <v>127.3</v>
      </c>
      <c r="AA144">
        <v>134.19999999999999</v>
      </c>
      <c r="AB144">
        <v>121.9</v>
      </c>
      <c r="AC144">
        <v>126.3</v>
      </c>
      <c r="AD144">
        <v>132.80000000000001</v>
      </c>
    </row>
    <row r="145" spans="1:30" x14ac:dyDescent="0.3">
      <c r="A145" t="s">
        <v>33</v>
      </c>
      <c r="B145">
        <v>2016</v>
      </c>
      <c r="C145" t="s">
        <v>55</v>
      </c>
      <c r="D145">
        <v>131.6</v>
      </c>
      <c r="E145">
        <v>138.19999999999999</v>
      </c>
      <c r="F145">
        <v>134.9</v>
      </c>
      <c r="G145">
        <v>133.1</v>
      </c>
      <c r="H145">
        <v>113.5</v>
      </c>
      <c r="I145">
        <v>129.30000000000001</v>
      </c>
      <c r="J145">
        <v>121.1</v>
      </c>
      <c r="K145">
        <v>170.3</v>
      </c>
      <c r="L145">
        <v>115.5</v>
      </c>
      <c r="M145">
        <v>145.5</v>
      </c>
      <c r="N145">
        <v>123.1</v>
      </c>
      <c r="O145">
        <v>140.9</v>
      </c>
      <c r="P145">
        <v>132.80000000000001</v>
      </c>
      <c r="Q145">
        <v>145</v>
      </c>
      <c r="R145">
        <v>130</v>
      </c>
      <c r="S145">
        <v>122.2</v>
      </c>
      <c r="T145">
        <v>128.80000000000001</v>
      </c>
      <c r="U145" t="s">
        <v>91</v>
      </c>
      <c r="V145">
        <v>117.8</v>
      </c>
      <c r="W145">
        <v>125</v>
      </c>
      <c r="X145">
        <v>122.3</v>
      </c>
      <c r="Y145">
        <v>113.7</v>
      </c>
      <c r="Z145">
        <v>121.8</v>
      </c>
      <c r="AA145">
        <v>132.30000000000001</v>
      </c>
      <c r="AB145">
        <v>119.9</v>
      </c>
      <c r="AC145">
        <v>121.4</v>
      </c>
      <c r="AD145">
        <v>127.6</v>
      </c>
    </row>
    <row r="146" spans="1:30" x14ac:dyDescent="0.3">
      <c r="A146" t="s">
        <v>35</v>
      </c>
      <c r="B146">
        <v>2016</v>
      </c>
      <c r="C146" t="s">
        <v>55</v>
      </c>
      <c r="D146">
        <v>132.30000000000001</v>
      </c>
      <c r="E146">
        <v>137.6</v>
      </c>
      <c r="F146">
        <v>132.9</v>
      </c>
      <c r="G146">
        <v>135.1</v>
      </c>
      <c r="H146">
        <v>118.6</v>
      </c>
      <c r="I146">
        <v>132.69999999999999</v>
      </c>
      <c r="J146">
        <v>125.3</v>
      </c>
      <c r="K146">
        <v>168.7</v>
      </c>
      <c r="L146">
        <v>114.4</v>
      </c>
      <c r="M146">
        <v>140.19999999999999</v>
      </c>
      <c r="N146">
        <v>126.6</v>
      </c>
      <c r="O146">
        <v>142.30000000000001</v>
      </c>
      <c r="P146">
        <v>134</v>
      </c>
      <c r="Q146">
        <v>143.1</v>
      </c>
      <c r="R146">
        <v>136.30000000000001</v>
      </c>
      <c r="S146">
        <v>129.80000000000001</v>
      </c>
      <c r="T146">
        <v>135.4</v>
      </c>
      <c r="U146" t="s">
        <v>91</v>
      </c>
      <c r="V146">
        <v>126.6</v>
      </c>
      <c r="W146">
        <v>129.19999999999999</v>
      </c>
      <c r="X146">
        <v>126.9</v>
      </c>
      <c r="Y146">
        <v>116</v>
      </c>
      <c r="Z146">
        <v>124.2</v>
      </c>
      <c r="AA146">
        <v>133.1</v>
      </c>
      <c r="AB146">
        <v>121.1</v>
      </c>
      <c r="AC146">
        <v>123.9</v>
      </c>
      <c r="AD146">
        <v>130.4</v>
      </c>
    </row>
    <row r="147" spans="1:30" x14ac:dyDescent="0.3">
      <c r="A147" t="s">
        <v>30</v>
      </c>
      <c r="B147">
        <v>2017</v>
      </c>
      <c r="C147" t="s">
        <v>31</v>
      </c>
      <c r="D147">
        <v>133.1</v>
      </c>
      <c r="E147">
        <v>137.80000000000001</v>
      </c>
      <c r="F147">
        <v>131.9</v>
      </c>
      <c r="G147">
        <v>136.69999999999999</v>
      </c>
      <c r="H147">
        <v>122</v>
      </c>
      <c r="I147">
        <v>136</v>
      </c>
      <c r="J147">
        <v>119.8</v>
      </c>
      <c r="K147">
        <v>161.69999999999999</v>
      </c>
      <c r="L147">
        <v>114.8</v>
      </c>
      <c r="M147">
        <v>136.9</v>
      </c>
      <c r="N147">
        <v>129</v>
      </c>
      <c r="O147">
        <v>143.9</v>
      </c>
      <c r="P147">
        <v>133.69999999999999</v>
      </c>
      <c r="Q147">
        <v>143.1</v>
      </c>
      <c r="R147">
        <v>140.69999999999999</v>
      </c>
      <c r="S147">
        <v>135.80000000000001</v>
      </c>
      <c r="T147">
        <v>140</v>
      </c>
      <c r="U147" t="s">
        <v>32</v>
      </c>
      <c r="V147">
        <v>132.1</v>
      </c>
      <c r="W147">
        <v>133.19999999999999</v>
      </c>
      <c r="X147">
        <v>129.9</v>
      </c>
      <c r="Y147">
        <v>119.1</v>
      </c>
      <c r="Z147">
        <v>127</v>
      </c>
      <c r="AA147">
        <v>134.6</v>
      </c>
      <c r="AB147">
        <v>122.3</v>
      </c>
      <c r="AC147">
        <v>126.6</v>
      </c>
      <c r="AD147">
        <v>132.4</v>
      </c>
    </row>
    <row r="148" spans="1:30" x14ac:dyDescent="0.3">
      <c r="A148" t="s">
        <v>33</v>
      </c>
      <c r="B148">
        <v>2017</v>
      </c>
      <c r="C148" t="s">
        <v>31</v>
      </c>
      <c r="D148">
        <v>132.19999999999999</v>
      </c>
      <c r="E148">
        <v>138.9</v>
      </c>
      <c r="F148">
        <v>132.6</v>
      </c>
      <c r="G148">
        <v>133.1</v>
      </c>
      <c r="H148">
        <v>114</v>
      </c>
      <c r="I148">
        <v>129.6</v>
      </c>
      <c r="J148">
        <v>118.7</v>
      </c>
      <c r="K148">
        <v>155.1</v>
      </c>
      <c r="L148">
        <v>117.3</v>
      </c>
      <c r="M148">
        <v>144.9</v>
      </c>
      <c r="N148">
        <v>123.2</v>
      </c>
      <c r="O148">
        <v>141.6</v>
      </c>
      <c r="P148">
        <v>132</v>
      </c>
      <c r="Q148">
        <v>145.6</v>
      </c>
      <c r="R148">
        <v>130.19999999999999</v>
      </c>
      <c r="S148">
        <v>122.3</v>
      </c>
      <c r="T148">
        <v>129</v>
      </c>
      <c r="U148" t="s">
        <v>92</v>
      </c>
      <c r="V148">
        <v>118</v>
      </c>
      <c r="W148">
        <v>125.1</v>
      </c>
      <c r="X148">
        <v>122.6</v>
      </c>
      <c r="Y148">
        <v>115.2</v>
      </c>
      <c r="Z148">
        <v>122</v>
      </c>
      <c r="AA148">
        <v>132.4</v>
      </c>
      <c r="AB148">
        <v>120.9</v>
      </c>
      <c r="AC148">
        <v>122.1</v>
      </c>
      <c r="AD148">
        <v>127.8</v>
      </c>
    </row>
    <row r="149" spans="1:30" x14ac:dyDescent="0.3">
      <c r="A149" t="s">
        <v>35</v>
      </c>
      <c r="B149">
        <v>2017</v>
      </c>
      <c r="C149" t="s">
        <v>31</v>
      </c>
      <c r="D149">
        <v>132.80000000000001</v>
      </c>
      <c r="E149">
        <v>138.19999999999999</v>
      </c>
      <c r="F149">
        <v>132.19999999999999</v>
      </c>
      <c r="G149">
        <v>135.4</v>
      </c>
      <c r="H149">
        <v>119.1</v>
      </c>
      <c r="I149">
        <v>133</v>
      </c>
      <c r="J149">
        <v>119.4</v>
      </c>
      <c r="K149">
        <v>159.5</v>
      </c>
      <c r="L149">
        <v>115.6</v>
      </c>
      <c r="M149">
        <v>139.6</v>
      </c>
      <c r="N149">
        <v>126.6</v>
      </c>
      <c r="O149">
        <v>142.80000000000001</v>
      </c>
      <c r="P149">
        <v>133.1</v>
      </c>
      <c r="Q149">
        <v>143.80000000000001</v>
      </c>
      <c r="R149">
        <v>136.6</v>
      </c>
      <c r="S149">
        <v>130.19999999999999</v>
      </c>
      <c r="T149">
        <v>135.6</v>
      </c>
      <c r="U149" t="s">
        <v>92</v>
      </c>
      <c r="V149">
        <v>126.8</v>
      </c>
      <c r="W149">
        <v>129.4</v>
      </c>
      <c r="X149">
        <v>127.1</v>
      </c>
      <c r="Y149">
        <v>117</v>
      </c>
      <c r="Z149">
        <v>124.2</v>
      </c>
      <c r="AA149">
        <v>133.30000000000001</v>
      </c>
      <c r="AB149">
        <v>121.7</v>
      </c>
      <c r="AC149">
        <v>124.4</v>
      </c>
      <c r="AD149">
        <v>130.30000000000001</v>
      </c>
    </row>
    <row r="150" spans="1:30" x14ac:dyDescent="0.3">
      <c r="A150" t="s">
        <v>30</v>
      </c>
      <c r="B150">
        <v>2017</v>
      </c>
      <c r="C150" t="s">
        <v>36</v>
      </c>
      <c r="D150">
        <v>133.30000000000001</v>
      </c>
      <c r="E150">
        <v>138.30000000000001</v>
      </c>
      <c r="F150">
        <v>129.30000000000001</v>
      </c>
      <c r="G150">
        <v>137.19999999999999</v>
      </c>
      <c r="H150">
        <v>122.1</v>
      </c>
      <c r="I150">
        <v>138.69999999999999</v>
      </c>
      <c r="J150">
        <v>119.1</v>
      </c>
      <c r="K150">
        <v>156.9</v>
      </c>
      <c r="L150">
        <v>116.2</v>
      </c>
      <c r="M150">
        <v>136</v>
      </c>
      <c r="N150">
        <v>129.4</v>
      </c>
      <c r="O150">
        <v>144.4</v>
      </c>
      <c r="P150">
        <v>133.6</v>
      </c>
      <c r="Q150">
        <v>143.69999999999999</v>
      </c>
      <c r="R150">
        <v>140.9</v>
      </c>
      <c r="S150">
        <v>135.80000000000001</v>
      </c>
      <c r="T150">
        <v>140.19999999999999</v>
      </c>
      <c r="U150" t="s">
        <v>32</v>
      </c>
      <c r="V150">
        <v>133.19999999999999</v>
      </c>
      <c r="W150">
        <v>133.6</v>
      </c>
      <c r="X150">
        <v>130.1</v>
      </c>
      <c r="Y150">
        <v>119.5</v>
      </c>
      <c r="Z150">
        <v>127.7</v>
      </c>
      <c r="AA150">
        <v>134.9</v>
      </c>
      <c r="AB150">
        <v>123.2</v>
      </c>
      <c r="AC150">
        <v>127</v>
      </c>
      <c r="AD150">
        <v>132.6</v>
      </c>
    </row>
    <row r="151" spans="1:30" x14ac:dyDescent="0.3">
      <c r="A151" t="s">
        <v>33</v>
      </c>
      <c r="B151">
        <v>2017</v>
      </c>
      <c r="C151" t="s">
        <v>36</v>
      </c>
      <c r="D151">
        <v>132.80000000000001</v>
      </c>
      <c r="E151">
        <v>139.80000000000001</v>
      </c>
      <c r="F151">
        <v>129.30000000000001</v>
      </c>
      <c r="G151">
        <v>133.5</v>
      </c>
      <c r="H151">
        <v>114.3</v>
      </c>
      <c r="I151">
        <v>131.4</v>
      </c>
      <c r="J151">
        <v>120.2</v>
      </c>
      <c r="K151">
        <v>143.1</v>
      </c>
      <c r="L151">
        <v>119.5</v>
      </c>
      <c r="M151">
        <v>144</v>
      </c>
      <c r="N151">
        <v>123.4</v>
      </c>
      <c r="O151">
        <v>141.9</v>
      </c>
      <c r="P151">
        <v>132.1</v>
      </c>
      <c r="Q151">
        <v>146.30000000000001</v>
      </c>
      <c r="R151">
        <v>130.5</v>
      </c>
      <c r="S151">
        <v>122.5</v>
      </c>
      <c r="T151">
        <v>129.30000000000001</v>
      </c>
      <c r="U151" t="s">
        <v>93</v>
      </c>
      <c r="V151">
        <v>119.2</v>
      </c>
      <c r="W151">
        <v>125.3</v>
      </c>
      <c r="X151">
        <v>122.9</v>
      </c>
      <c r="Y151">
        <v>115.5</v>
      </c>
      <c r="Z151">
        <v>122.2</v>
      </c>
      <c r="AA151">
        <v>132.4</v>
      </c>
      <c r="AB151">
        <v>121.7</v>
      </c>
      <c r="AC151">
        <v>122.4</v>
      </c>
      <c r="AD151">
        <v>128.19999999999999</v>
      </c>
    </row>
    <row r="152" spans="1:30" x14ac:dyDescent="0.3">
      <c r="A152" t="s">
        <v>35</v>
      </c>
      <c r="B152">
        <v>2017</v>
      </c>
      <c r="C152" t="s">
        <v>36</v>
      </c>
      <c r="D152">
        <v>133.1</v>
      </c>
      <c r="E152">
        <v>138.80000000000001</v>
      </c>
      <c r="F152">
        <v>129.30000000000001</v>
      </c>
      <c r="G152">
        <v>135.80000000000001</v>
      </c>
      <c r="H152">
        <v>119.2</v>
      </c>
      <c r="I152">
        <v>135.30000000000001</v>
      </c>
      <c r="J152">
        <v>119.5</v>
      </c>
      <c r="K152">
        <v>152.19999999999999</v>
      </c>
      <c r="L152">
        <v>117.3</v>
      </c>
      <c r="M152">
        <v>138.69999999999999</v>
      </c>
      <c r="N152">
        <v>126.9</v>
      </c>
      <c r="O152">
        <v>143.19999999999999</v>
      </c>
      <c r="P152">
        <v>133</v>
      </c>
      <c r="Q152">
        <v>144.4</v>
      </c>
      <c r="R152">
        <v>136.80000000000001</v>
      </c>
      <c r="S152">
        <v>130.30000000000001</v>
      </c>
      <c r="T152">
        <v>135.9</v>
      </c>
      <c r="U152" t="s">
        <v>93</v>
      </c>
      <c r="V152">
        <v>127.9</v>
      </c>
      <c r="W152">
        <v>129.69999999999999</v>
      </c>
      <c r="X152">
        <v>127.4</v>
      </c>
      <c r="Y152">
        <v>117.4</v>
      </c>
      <c r="Z152">
        <v>124.6</v>
      </c>
      <c r="AA152">
        <v>133.4</v>
      </c>
      <c r="AB152">
        <v>122.6</v>
      </c>
      <c r="AC152">
        <v>124.8</v>
      </c>
      <c r="AD152">
        <v>130.6</v>
      </c>
    </row>
    <row r="153" spans="1:30" x14ac:dyDescent="0.3">
      <c r="A153" t="s">
        <v>30</v>
      </c>
      <c r="B153">
        <v>2017</v>
      </c>
      <c r="C153" t="s">
        <v>38</v>
      </c>
      <c r="D153">
        <v>133.6</v>
      </c>
      <c r="E153">
        <v>138.80000000000001</v>
      </c>
      <c r="F153">
        <v>128.80000000000001</v>
      </c>
      <c r="G153">
        <v>137.19999999999999</v>
      </c>
      <c r="H153">
        <v>121.6</v>
      </c>
      <c r="I153">
        <v>139.69999999999999</v>
      </c>
      <c r="J153">
        <v>119.7</v>
      </c>
      <c r="K153">
        <v>148</v>
      </c>
      <c r="L153">
        <v>116.9</v>
      </c>
      <c r="M153">
        <v>135.6</v>
      </c>
      <c r="N153">
        <v>129.80000000000001</v>
      </c>
      <c r="O153">
        <v>145.4</v>
      </c>
      <c r="P153">
        <v>133.4</v>
      </c>
      <c r="Q153">
        <v>144.19999999999999</v>
      </c>
      <c r="R153">
        <v>141.6</v>
      </c>
      <c r="S153">
        <v>136.19999999999999</v>
      </c>
      <c r="T153">
        <v>140.80000000000001</v>
      </c>
      <c r="U153" t="s">
        <v>32</v>
      </c>
      <c r="V153">
        <v>134.19999999999999</v>
      </c>
      <c r="W153">
        <v>134.1</v>
      </c>
      <c r="X153">
        <v>130.6</v>
      </c>
      <c r="Y153">
        <v>119.8</v>
      </c>
      <c r="Z153">
        <v>128.30000000000001</v>
      </c>
      <c r="AA153">
        <v>135.19999999999999</v>
      </c>
      <c r="AB153">
        <v>123.3</v>
      </c>
      <c r="AC153">
        <v>127.4</v>
      </c>
      <c r="AD153">
        <v>132.80000000000001</v>
      </c>
    </row>
    <row r="154" spans="1:30" x14ac:dyDescent="0.3">
      <c r="A154" t="s">
        <v>33</v>
      </c>
      <c r="B154">
        <v>2017</v>
      </c>
      <c r="C154" t="s">
        <v>38</v>
      </c>
      <c r="D154">
        <v>132.69999999999999</v>
      </c>
      <c r="E154">
        <v>139.4</v>
      </c>
      <c r="F154">
        <v>128.4</v>
      </c>
      <c r="G154">
        <v>134.9</v>
      </c>
      <c r="H154">
        <v>114</v>
      </c>
      <c r="I154">
        <v>136.80000000000001</v>
      </c>
      <c r="J154">
        <v>122.2</v>
      </c>
      <c r="K154">
        <v>135.80000000000001</v>
      </c>
      <c r="L154">
        <v>120.3</v>
      </c>
      <c r="M154">
        <v>142.6</v>
      </c>
      <c r="N154">
        <v>123.6</v>
      </c>
      <c r="O154">
        <v>142.4</v>
      </c>
      <c r="P154">
        <v>132.6</v>
      </c>
      <c r="Q154">
        <v>147.5</v>
      </c>
      <c r="R154">
        <v>130.80000000000001</v>
      </c>
      <c r="S154">
        <v>122.8</v>
      </c>
      <c r="T154">
        <v>129.6</v>
      </c>
      <c r="U154" t="s">
        <v>94</v>
      </c>
      <c r="V154">
        <v>120.8</v>
      </c>
      <c r="W154">
        <v>125.6</v>
      </c>
      <c r="X154">
        <v>123.1</v>
      </c>
      <c r="Y154">
        <v>115.6</v>
      </c>
      <c r="Z154">
        <v>122.4</v>
      </c>
      <c r="AA154">
        <v>132.80000000000001</v>
      </c>
      <c r="AB154">
        <v>121.7</v>
      </c>
      <c r="AC154">
        <v>122.6</v>
      </c>
      <c r="AD154">
        <v>128.69999999999999</v>
      </c>
    </row>
    <row r="155" spans="1:30" x14ac:dyDescent="0.3">
      <c r="A155" t="s">
        <v>35</v>
      </c>
      <c r="B155">
        <v>2017</v>
      </c>
      <c r="C155" t="s">
        <v>38</v>
      </c>
      <c r="D155">
        <v>133.30000000000001</v>
      </c>
      <c r="E155">
        <v>139</v>
      </c>
      <c r="F155">
        <v>128.6</v>
      </c>
      <c r="G155">
        <v>136.30000000000001</v>
      </c>
      <c r="H155">
        <v>118.8</v>
      </c>
      <c r="I155">
        <v>138.30000000000001</v>
      </c>
      <c r="J155">
        <v>120.5</v>
      </c>
      <c r="K155">
        <v>143.9</v>
      </c>
      <c r="L155">
        <v>118</v>
      </c>
      <c r="M155">
        <v>137.9</v>
      </c>
      <c r="N155">
        <v>127.2</v>
      </c>
      <c r="O155">
        <v>144</v>
      </c>
      <c r="P155">
        <v>133.1</v>
      </c>
      <c r="Q155">
        <v>145.1</v>
      </c>
      <c r="R155">
        <v>137.30000000000001</v>
      </c>
      <c r="S155">
        <v>130.6</v>
      </c>
      <c r="T155">
        <v>136.4</v>
      </c>
      <c r="U155" t="s">
        <v>94</v>
      </c>
      <c r="V155">
        <v>129.1</v>
      </c>
      <c r="W155">
        <v>130.1</v>
      </c>
      <c r="X155">
        <v>127.8</v>
      </c>
      <c r="Y155">
        <v>117.6</v>
      </c>
      <c r="Z155">
        <v>125</v>
      </c>
      <c r="AA155">
        <v>133.80000000000001</v>
      </c>
      <c r="AB155">
        <v>122.6</v>
      </c>
      <c r="AC155">
        <v>125.1</v>
      </c>
      <c r="AD155">
        <v>130.9</v>
      </c>
    </row>
    <row r="156" spans="1:30" x14ac:dyDescent="0.3">
      <c r="A156" t="s">
        <v>30</v>
      </c>
      <c r="B156">
        <v>2017</v>
      </c>
      <c r="C156" t="s">
        <v>39</v>
      </c>
      <c r="D156">
        <v>133.19999999999999</v>
      </c>
      <c r="E156">
        <v>138.69999999999999</v>
      </c>
      <c r="F156">
        <v>127.1</v>
      </c>
      <c r="G156">
        <v>137.69999999999999</v>
      </c>
      <c r="H156">
        <v>121.3</v>
      </c>
      <c r="I156">
        <v>141.80000000000001</v>
      </c>
      <c r="J156">
        <v>121.5</v>
      </c>
      <c r="K156">
        <v>144.5</v>
      </c>
      <c r="L156">
        <v>117.4</v>
      </c>
      <c r="M156">
        <v>134.1</v>
      </c>
      <c r="N156">
        <v>130</v>
      </c>
      <c r="O156">
        <v>145.5</v>
      </c>
      <c r="P156">
        <v>133.5</v>
      </c>
      <c r="Q156">
        <v>144.4</v>
      </c>
      <c r="R156">
        <v>142.4</v>
      </c>
      <c r="S156">
        <v>136.80000000000001</v>
      </c>
      <c r="T156">
        <v>141.6</v>
      </c>
      <c r="U156" t="s">
        <v>32</v>
      </c>
      <c r="V156">
        <v>135</v>
      </c>
      <c r="W156">
        <v>134.30000000000001</v>
      </c>
      <c r="X156">
        <v>131</v>
      </c>
      <c r="Y156">
        <v>119.2</v>
      </c>
      <c r="Z156">
        <v>128.30000000000001</v>
      </c>
      <c r="AA156">
        <v>135.69999999999999</v>
      </c>
      <c r="AB156">
        <v>123.7</v>
      </c>
      <c r="AC156">
        <v>127.5</v>
      </c>
      <c r="AD156">
        <v>132.9</v>
      </c>
    </row>
    <row r="157" spans="1:30" x14ac:dyDescent="0.3">
      <c r="A157" t="s">
        <v>33</v>
      </c>
      <c r="B157">
        <v>2017</v>
      </c>
      <c r="C157" t="s">
        <v>39</v>
      </c>
      <c r="D157">
        <v>132.69999999999999</v>
      </c>
      <c r="E157">
        <v>140.6</v>
      </c>
      <c r="F157">
        <v>124.5</v>
      </c>
      <c r="G157">
        <v>136.30000000000001</v>
      </c>
      <c r="H157">
        <v>113.5</v>
      </c>
      <c r="I157">
        <v>137.69999999999999</v>
      </c>
      <c r="J157">
        <v>127.1</v>
      </c>
      <c r="K157">
        <v>133.80000000000001</v>
      </c>
      <c r="L157">
        <v>120.8</v>
      </c>
      <c r="M157">
        <v>141.30000000000001</v>
      </c>
      <c r="N157">
        <v>123.8</v>
      </c>
      <c r="O157">
        <v>142.6</v>
      </c>
      <c r="P157">
        <v>133.4</v>
      </c>
      <c r="Q157">
        <v>148</v>
      </c>
      <c r="R157">
        <v>131.19999999999999</v>
      </c>
      <c r="S157">
        <v>123</v>
      </c>
      <c r="T157">
        <v>130</v>
      </c>
      <c r="U157" t="s">
        <v>95</v>
      </c>
      <c r="V157">
        <v>121.4</v>
      </c>
      <c r="W157">
        <v>126</v>
      </c>
      <c r="X157">
        <v>123.4</v>
      </c>
      <c r="Y157">
        <v>114.3</v>
      </c>
      <c r="Z157">
        <v>122.6</v>
      </c>
      <c r="AA157">
        <v>133.6</v>
      </c>
      <c r="AB157">
        <v>122.2</v>
      </c>
      <c r="AC157">
        <v>122.5</v>
      </c>
      <c r="AD157">
        <v>129.1</v>
      </c>
    </row>
    <row r="158" spans="1:30" x14ac:dyDescent="0.3">
      <c r="A158" t="s">
        <v>35</v>
      </c>
      <c r="B158">
        <v>2017</v>
      </c>
      <c r="C158" t="s">
        <v>39</v>
      </c>
      <c r="D158">
        <v>133</v>
      </c>
      <c r="E158">
        <v>139.4</v>
      </c>
      <c r="F158">
        <v>126.1</v>
      </c>
      <c r="G158">
        <v>137.19999999999999</v>
      </c>
      <c r="H158">
        <v>118.4</v>
      </c>
      <c r="I158">
        <v>139.9</v>
      </c>
      <c r="J158">
        <v>123.4</v>
      </c>
      <c r="K158">
        <v>140.9</v>
      </c>
      <c r="L158">
        <v>118.5</v>
      </c>
      <c r="M158">
        <v>136.5</v>
      </c>
      <c r="N158">
        <v>127.4</v>
      </c>
      <c r="O158">
        <v>144.19999999999999</v>
      </c>
      <c r="P158">
        <v>133.5</v>
      </c>
      <c r="Q158">
        <v>145.4</v>
      </c>
      <c r="R158">
        <v>138</v>
      </c>
      <c r="S158">
        <v>131.1</v>
      </c>
      <c r="T158">
        <v>137</v>
      </c>
      <c r="U158" t="s">
        <v>95</v>
      </c>
      <c r="V158">
        <v>129.80000000000001</v>
      </c>
      <c r="W158">
        <v>130.4</v>
      </c>
      <c r="X158">
        <v>128.1</v>
      </c>
      <c r="Y158">
        <v>116.6</v>
      </c>
      <c r="Z158">
        <v>125.1</v>
      </c>
      <c r="AA158">
        <v>134.5</v>
      </c>
      <c r="AB158">
        <v>123.1</v>
      </c>
      <c r="AC158">
        <v>125.1</v>
      </c>
      <c r="AD158">
        <v>131.1</v>
      </c>
    </row>
    <row r="159" spans="1:30" x14ac:dyDescent="0.3">
      <c r="A159" t="s">
        <v>30</v>
      </c>
      <c r="B159">
        <v>2017</v>
      </c>
      <c r="C159" t="s">
        <v>41</v>
      </c>
      <c r="D159">
        <v>133.1</v>
      </c>
      <c r="E159">
        <v>140.30000000000001</v>
      </c>
      <c r="F159">
        <v>126.8</v>
      </c>
      <c r="G159">
        <v>138.19999999999999</v>
      </c>
      <c r="H159">
        <v>120.8</v>
      </c>
      <c r="I159">
        <v>140.19999999999999</v>
      </c>
      <c r="J159">
        <v>123.8</v>
      </c>
      <c r="K159">
        <v>141.80000000000001</v>
      </c>
      <c r="L159">
        <v>118.6</v>
      </c>
      <c r="M159">
        <v>134</v>
      </c>
      <c r="N159">
        <v>130.30000000000001</v>
      </c>
      <c r="O159">
        <v>145.80000000000001</v>
      </c>
      <c r="P159">
        <v>133.80000000000001</v>
      </c>
      <c r="Q159">
        <v>145.5</v>
      </c>
      <c r="R159">
        <v>142.5</v>
      </c>
      <c r="S159">
        <v>137.30000000000001</v>
      </c>
      <c r="T159">
        <v>141.80000000000001</v>
      </c>
      <c r="U159" t="s">
        <v>32</v>
      </c>
      <c r="V159">
        <v>135</v>
      </c>
      <c r="W159">
        <v>134.9</v>
      </c>
      <c r="X159">
        <v>131.4</v>
      </c>
      <c r="Y159">
        <v>119.4</v>
      </c>
      <c r="Z159">
        <v>129.4</v>
      </c>
      <c r="AA159">
        <v>136.30000000000001</v>
      </c>
      <c r="AB159">
        <v>123.7</v>
      </c>
      <c r="AC159">
        <v>127.9</v>
      </c>
      <c r="AD159">
        <v>133.30000000000001</v>
      </c>
    </row>
    <row r="160" spans="1:30" x14ac:dyDescent="0.3">
      <c r="A160" t="s">
        <v>33</v>
      </c>
      <c r="B160">
        <v>2017</v>
      </c>
      <c r="C160" t="s">
        <v>41</v>
      </c>
      <c r="D160">
        <v>132.6</v>
      </c>
      <c r="E160">
        <v>144.1</v>
      </c>
      <c r="F160">
        <v>125.6</v>
      </c>
      <c r="G160">
        <v>136.80000000000001</v>
      </c>
      <c r="H160">
        <v>113.4</v>
      </c>
      <c r="I160">
        <v>135.19999999999999</v>
      </c>
      <c r="J160">
        <v>129.19999999999999</v>
      </c>
      <c r="K160">
        <v>131.5</v>
      </c>
      <c r="L160">
        <v>121</v>
      </c>
      <c r="M160">
        <v>139.9</v>
      </c>
      <c r="N160">
        <v>123.8</v>
      </c>
      <c r="O160">
        <v>142.9</v>
      </c>
      <c r="P160">
        <v>133.6</v>
      </c>
      <c r="Q160">
        <v>148.30000000000001</v>
      </c>
      <c r="R160">
        <v>131.5</v>
      </c>
      <c r="S160">
        <v>123.2</v>
      </c>
      <c r="T160">
        <v>130.19999999999999</v>
      </c>
      <c r="U160" t="s">
        <v>96</v>
      </c>
      <c r="V160">
        <v>120.1</v>
      </c>
      <c r="W160">
        <v>126.5</v>
      </c>
      <c r="X160">
        <v>123.6</v>
      </c>
      <c r="Y160">
        <v>114.3</v>
      </c>
      <c r="Z160">
        <v>122.8</v>
      </c>
      <c r="AA160">
        <v>133.80000000000001</v>
      </c>
      <c r="AB160">
        <v>122</v>
      </c>
      <c r="AC160">
        <v>122.6</v>
      </c>
      <c r="AD160">
        <v>129.30000000000001</v>
      </c>
    </row>
    <row r="161" spans="1:30" x14ac:dyDescent="0.3">
      <c r="A161" t="s">
        <v>35</v>
      </c>
      <c r="B161">
        <v>2017</v>
      </c>
      <c r="C161" t="s">
        <v>41</v>
      </c>
      <c r="D161">
        <v>132.9</v>
      </c>
      <c r="E161">
        <v>141.6</v>
      </c>
      <c r="F161">
        <v>126.3</v>
      </c>
      <c r="G161">
        <v>137.69999999999999</v>
      </c>
      <c r="H161">
        <v>118.1</v>
      </c>
      <c r="I161">
        <v>137.9</v>
      </c>
      <c r="J161">
        <v>125.6</v>
      </c>
      <c r="K161">
        <v>138.30000000000001</v>
      </c>
      <c r="L161">
        <v>119.4</v>
      </c>
      <c r="M161">
        <v>136</v>
      </c>
      <c r="N161">
        <v>127.6</v>
      </c>
      <c r="O161">
        <v>144.5</v>
      </c>
      <c r="P161">
        <v>133.69999999999999</v>
      </c>
      <c r="Q161">
        <v>146.19999999999999</v>
      </c>
      <c r="R161">
        <v>138.19999999999999</v>
      </c>
      <c r="S161">
        <v>131.4</v>
      </c>
      <c r="T161">
        <v>137.19999999999999</v>
      </c>
      <c r="U161" t="s">
        <v>96</v>
      </c>
      <c r="V161">
        <v>129.4</v>
      </c>
      <c r="W161">
        <v>130.9</v>
      </c>
      <c r="X161">
        <v>128.4</v>
      </c>
      <c r="Y161">
        <v>116.7</v>
      </c>
      <c r="Z161">
        <v>125.7</v>
      </c>
      <c r="AA161">
        <v>134.80000000000001</v>
      </c>
      <c r="AB161">
        <v>123</v>
      </c>
      <c r="AC161">
        <v>125.3</v>
      </c>
      <c r="AD161">
        <v>131.4</v>
      </c>
    </row>
    <row r="162" spans="1:30" x14ac:dyDescent="0.3">
      <c r="A162" t="s">
        <v>30</v>
      </c>
      <c r="B162">
        <v>2017</v>
      </c>
      <c r="C162" t="s">
        <v>42</v>
      </c>
      <c r="D162">
        <v>133.5</v>
      </c>
      <c r="E162">
        <v>143.69999999999999</v>
      </c>
      <c r="F162">
        <v>128</v>
      </c>
      <c r="G162">
        <v>138.6</v>
      </c>
      <c r="H162">
        <v>120.9</v>
      </c>
      <c r="I162">
        <v>140.9</v>
      </c>
      <c r="J162">
        <v>128.80000000000001</v>
      </c>
      <c r="K162">
        <v>140.19999999999999</v>
      </c>
      <c r="L162">
        <v>118.9</v>
      </c>
      <c r="M162">
        <v>133.5</v>
      </c>
      <c r="N162">
        <v>130.4</v>
      </c>
      <c r="O162">
        <v>146.5</v>
      </c>
      <c r="P162">
        <v>134.9</v>
      </c>
      <c r="Q162">
        <v>145.80000000000001</v>
      </c>
      <c r="R162">
        <v>143.1</v>
      </c>
      <c r="S162">
        <v>137.69999999999999</v>
      </c>
      <c r="T162">
        <v>142.30000000000001</v>
      </c>
      <c r="U162" t="s">
        <v>32</v>
      </c>
      <c r="V162">
        <v>134.80000000000001</v>
      </c>
      <c r="W162">
        <v>135.19999999999999</v>
      </c>
      <c r="X162">
        <v>131.30000000000001</v>
      </c>
      <c r="Y162">
        <v>119.4</v>
      </c>
      <c r="Z162">
        <v>129.80000000000001</v>
      </c>
      <c r="AA162">
        <v>136.9</v>
      </c>
      <c r="AB162">
        <v>124.1</v>
      </c>
      <c r="AC162">
        <v>128.1</v>
      </c>
      <c r="AD162">
        <v>133.9</v>
      </c>
    </row>
    <row r="163" spans="1:30" x14ac:dyDescent="0.3">
      <c r="A163" t="s">
        <v>33</v>
      </c>
      <c r="B163">
        <v>2017</v>
      </c>
      <c r="C163" t="s">
        <v>42</v>
      </c>
      <c r="D163">
        <v>132.9</v>
      </c>
      <c r="E163">
        <v>148.69999999999999</v>
      </c>
      <c r="F163">
        <v>128.30000000000001</v>
      </c>
      <c r="G163">
        <v>137.30000000000001</v>
      </c>
      <c r="H163">
        <v>113.5</v>
      </c>
      <c r="I163">
        <v>137.19999999999999</v>
      </c>
      <c r="J163">
        <v>142.19999999999999</v>
      </c>
      <c r="K163">
        <v>128.19999999999999</v>
      </c>
      <c r="L163">
        <v>120.9</v>
      </c>
      <c r="M163">
        <v>138.80000000000001</v>
      </c>
      <c r="N163">
        <v>124.2</v>
      </c>
      <c r="O163">
        <v>143.1</v>
      </c>
      <c r="P163">
        <v>135.69999999999999</v>
      </c>
      <c r="Q163">
        <v>148.6</v>
      </c>
      <c r="R163">
        <v>131.5</v>
      </c>
      <c r="S163">
        <v>123.2</v>
      </c>
      <c r="T163">
        <v>130.19999999999999</v>
      </c>
      <c r="U163" t="s">
        <v>97</v>
      </c>
      <c r="V163">
        <v>119</v>
      </c>
      <c r="W163">
        <v>126.8</v>
      </c>
      <c r="X163">
        <v>123.8</v>
      </c>
      <c r="Y163">
        <v>113.9</v>
      </c>
      <c r="Z163">
        <v>122.9</v>
      </c>
      <c r="AA163">
        <v>134.30000000000001</v>
      </c>
      <c r="AB163">
        <v>122.5</v>
      </c>
      <c r="AC163">
        <v>122.7</v>
      </c>
      <c r="AD163">
        <v>129.9</v>
      </c>
    </row>
    <row r="164" spans="1:30" x14ac:dyDescent="0.3">
      <c r="A164" t="s">
        <v>35</v>
      </c>
      <c r="B164">
        <v>2017</v>
      </c>
      <c r="C164" t="s">
        <v>42</v>
      </c>
      <c r="D164">
        <v>133.30000000000001</v>
      </c>
      <c r="E164">
        <v>145.5</v>
      </c>
      <c r="F164">
        <v>128.1</v>
      </c>
      <c r="G164">
        <v>138.1</v>
      </c>
      <c r="H164">
        <v>118.2</v>
      </c>
      <c r="I164">
        <v>139.19999999999999</v>
      </c>
      <c r="J164">
        <v>133.30000000000001</v>
      </c>
      <c r="K164">
        <v>136.19999999999999</v>
      </c>
      <c r="L164">
        <v>119.6</v>
      </c>
      <c r="M164">
        <v>135.30000000000001</v>
      </c>
      <c r="N164">
        <v>127.8</v>
      </c>
      <c r="O164">
        <v>144.9</v>
      </c>
      <c r="P164">
        <v>135.19999999999999</v>
      </c>
      <c r="Q164">
        <v>146.5</v>
      </c>
      <c r="R164">
        <v>138.5</v>
      </c>
      <c r="S164">
        <v>131.69999999999999</v>
      </c>
      <c r="T164">
        <v>137.5</v>
      </c>
      <c r="U164" t="s">
        <v>97</v>
      </c>
      <c r="V164">
        <v>128.80000000000001</v>
      </c>
      <c r="W164">
        <v>131.19999999999999</v>
      </c>
      <c r="X164">
        <v>128.5</v>
      </c>
      <c r="Y164">
        <v>116.5</v>
      </c>
      <c r="Z164">
        <v>125.9</v>
      </c>
      <c r="AA164">
        <v>135.4</v>
      </c>
      <c r="AB164">
        <v>123.4</v>
      </c>
      <c r="AC164">
        <v>125.5</v>
      </c>
      <c r="AD164">
        <v>132</v>
      </c>
    </row>
    <row r="165" spans="1:30" x14ac:dyDescent="0.3">
      <c r="A165" t="s">
        <v>30</v>
      </c>
      <c r="B165">
        <v>2017</v>
      </c>
      <c r="C165" t="s">
        <v>44</v>
      </c>
      <c r="D165">
        <v>134</v>
      </c>
      <c r="E165">
        <v>144.19999999999999</v>
      </c>
      <c r="F165">
        <v>129.80000000000001</v>
      </c>
      <c r="G165">
        <v>139</v>
      </c>
      <c r="H165">
        <v>120.9</v>
      </c>
      <c r="I165">
        <v>143.9</v>
      </c>
      <c r="J165">
        <v>151.5</v>
      </c>
      <c r="K165">
        <v>138.1</v>
      </c>
      <c r="L165">
        <v>120</v>
      </c>
      <c r="M165">
        <v>133.9</v>
      </c>
      <c r="N165">
        <v>131.4</v>
      </c>
      <c r="O165">
        <v>147.69999999999999</v>
      </c>
      <c r="P165">
        <v>138.5</v>
      </c>
      <c r="Q165">
        <v>147.4</v>
      </c>
      <c r="R165">
        <v>144.30000000000001</v>
      </c>
      <c r="S165">
        <v>138.1</v>
      </c>
      <c r="T165">
        <v>143.5</v>
      </c>
      <c r="U165" t="s">
        <v>32</v>
      </c>
      <c r="V165">
        <v>135.30000000000001</v>
      </c>
      <c r="W165">
        <v>136.1</v>
      </c>
      <c r="X165">
        <v>132.1</v>
      </c>
      <c r="Y165">
        <v>119.1</v>
      </c>
      <c r="Z165">
        <v>130.6</v>
      </c>
      <c r="AA165">
        <v>138.6</v>
      </c>
      <c r="AB165">
        <v>124.4</v>
      </c>
      <c r="AC165">
        <v>128.6</v>
      </c>
      <c r="AD165">
        <v>136.19999999999999</v>
      </c>
    </row>
    <row r="166" spans="1:30" x14ac:dyDescent="0.3">
      <c r="A166" t="s">
        <v>33</v>
      </c>
      <c r="B166">
        <v>2017</v>
      </c>
      <c r="C166" t="s">
        <v>44</v>
      </c>
      <c r="D166">
        <v>132.80000000000001</v>
      </c>
      <c r="E166">
        <v>148.4</v>
      </c>
      <c r="F166">
        <v>129.4</v>
      </c>
      <c r="G166">
        <v>137.69999999999999</v>
      </c>
      <c r="H166">
        <v>113.4</v>
      </c>
      <c r="I166">
        <v>139.4</v>
      </c>
      <c r="J166">
        <v>175.1</v>
      </c>
      <c r="K166">
        <v>124.7</v>
      </c>
      <c r="L166">
        <v>121.5</v>
      </c>
      <c r="M166">
        <v>137.80000000000001</v>
      </c>
      <c r="N166">
        <v>124.4</v>
      </c>
      <c r="O166">
        <v>143.69999999999999</v>
      </c>
      <c r="P166">
        <v>139.80000000000001</v>
      </c>
      <c r="Q166">
        <v>150.5</v>
      </c>
      <c r="R166">
        <v>131.6</v>
      </c>
      <c r="S166">
        <v>123.7</v>
      </c>
      <c r="T166">
        <v>130.4</v>
      </c>
      <c r="U166" t="s">
        <v>98</v>
      </c>
      <c r="V166">
        <v>119.7</v>
      </c>
      <c r="W166">
        <v>127.2</v>
      </c>
      <c r="X166">
        <v>125</v>
      </c>
      <c r="Y166">
        <v>113.2</v>
      </c>
      <c r="Z166">
        <v>123.5</v>
      </c>
      <c r="AA166">
        <v>135.5</v>
      </c>
      <c r="AB166">
        <v>122.4</v>
      </c>
      <c r="AC166">
        <v>123</v>
      </c>
      <c r="AD166">
        <v>131.80000000000001</v>
      </c>
    </row>
    <row r="167" spans="1:30" x14ac:dyDescent="0.3">
      <c r="A167" t="s">
        <v>35</v>
      </c>
      <c r="B167">
        <v>2017</v>
      </c>
      <c r="C167" t="s">
        <v>44</v>
      </c>
      <c r="D167">
        <v>133.6</v>
      </c>
      <c r="E167">
        <v>145.69999999999999</v>
      </c>
      <c r="F167">
        <v>129.6</v>
      </c>
      <c r="G167">
        <v>138.5</v>
      </c>
      <c r="H167">
        <v>118.1</v>
      </c>
      <c r="I167">
        <v>141.80000000000001</v>
      </c>
      <c r="J167">
        <v>159.5</v>
      </c>
      <c r="K167">
        <v>133.6</v>
      </c>
      <c r="L167">
        <v>120.5</v>
      </c>
      <c r="M167">
        <v>135.19999999999999</v>
      </c>
      <c r="N167">
        <v>128.5</v>
      </c>
      <c r="O167">
        <v>145.80000000000001</v>
      </c>
      <c r="P167">
        <v>139</v>
      </c>
      <c r="Q167">
        <v>148.19999999999999</v>
      </c>
      <c r="R167">
        <v>139.30000000000001</v>
      </c>
      <c r="S167">
        <v>132.1</v>
      </c>
      <c r="T167">
        <v>138.30000000000001</v>
      </c>
      <c r="U167" t="s">
        <v>98</v>
      </c>
      <c r="V167">
        <v>129.4</v>
      </c>
      <c r="W167">
        <v>131.9</v>
      </c>
      <c r="X167">
        <v>129.4</v>
      </c>
      <c r="Y167">
        <v>116</v>
      </c>
      <c r="Z167">
        <v>126.6</v>
      </c>
      <c r="AA167">
        <v>136.80000000000001</v>
      </c>
      <c r="AB167">
        <v>123.6</v>
      </c>
      <c r="AC167">
        <v>125.9</v>
      </c>
      <c r="AD167">
        <v>134.19999999999999</v>
      </c>
    </row>
    <row r="168" spans="1:30" x14ac:dyDescent="0.3">
      <c r="A168" t="s">
        <v>30</v>
      </c>
      <c r="B168">
        <v>2017</v>
      </c>
      <c r="C168" t="s">
        <v>46</v>
      </c>
      <c r="D168">
        <v>134.80000000000001</v>
      </c>
      <c r="E168">
        <v>143.1</v>
      </c>
      <c r="F168">
        <v>130</v>
      </c>
      <c r="G168">
        <v>139.4</v>
      </c>
      <c r="H168">
        <v>120.5</v>
      </c>
      <c r="I168">
        <v>148</v>
      </c>
      <c r="J168">
        <v>162.9</v>
      </c>
      <c r="K168">
        <v>137.4</v>
      </c>
      <c r="L168">
        <v>120.8</v>
      </c>
      <c r="M168">
        <v>134.69999999999999</v>
      </c>
      <c r="N168">
        <v>131.6</v>
      </c>
      <c r="O168">
        <v>148.69999999999999</v>
      </c>
      <c r="P168">
        <v>140.6</v>
      </c>
      <c r="Q168">
        <v>149</v>
      </c>
      <c r="R168">
        <v>145.30000000000001</v>
      </c>
      <c r="S168">
        <v>139.19999999999999</v>
      </c>
      <c r="T168">
        <v>144.5</v>
      </c>
      <c r="U168" t="s">
        <v>32</v>
      </c>
      <c r="V168">
        <v>136.4</v>
      </c>
      <c r="W168">
        <v>137.30000000000001</v>
      </c>
      <c r="X168">
        <v>133</v>
      </c>
      <c r="Y168">
        <v>120.3</v>
      </c>
      <c r="Z168">
        <v>131.5</v>
      </c>
      <c r="AA168">
        <v>140.19999999999999</v>
      </c>
      <c r="AB168">
        <v>125.4</v>
      </c>
      <c r="AC168">
        <v>129.69999999999999</v>
      </c>
      <c r="AD168">
        <v>137.80000000000001</v>
      </c>
    </row>
    <row r="169" spans="1:30" x14ac:dyDescent="0.3">
      <c r="A169" t="s">
        <v>33</v>
      </c>
      <c r="B169">
        <v>2017</v>
      </c>
      <c r="C169" t="s">
        <v>46</v>
      </c>
      <c r="D169">
        <v>133.19999999999999</v>
      </c>
      <c r="E169">
        <v>143.9</v>
      </c>
      <c r="F169">
        <v>128.30000000000001</v>
      </c>
      <c r="G169">
        <v>138.30000000000001</v>
      </c>
      <c r="H169">
        <v>114.1</v>
      </c>
      <c r="I169">
        <v>142.69999999999999</v>
      </c>
      <c r="J169">
        <v>179.8</v>
      </c>
      <c r="K169">
        <v>123.5</v>
      </c>
      <c r="L169">
        <v>122.1</v>
      </c>
      <c r="M169">
        <v>137.5</v>
      </c>
      <c r="N169">
        <v>124.6</v>
      </c>
      <c r="O169">
        <v>144.5</v>
      </c>
      <c r="P169">
        <v>140.5</v>
      </c>
      <c r="Q169">
        <v>152.1</v>
      </c>
      <c r="R169">
        <v>132.69999999999999</v>
      </c>
      <c r="S169">
        <v>124.3</v>
      </c>
      <c r="T169">
        <v>131.4</v>
      </c>
      <c r="U169" t="s">
        <v>99</v>
      </c>
      <c r="V169">
        <v>118.9</v>
      </c>
      <c r="W169">
        <v>127.7</v>
      </c>
      <c r="X169">
        <v>125.7</v>
      </c>
      <c r="Y169">
        <v>114.6</v>
      </c>
      <c r="Z169">
        <v>124.1</v>
      </c>
      <c r="AA169">
        <v>135.69999999999999</v>
      </c>
      <c r="AB169">
        <v>123.3</v>
      </c>
      <c r="AC169">
        <v>123.8</v>
      </c>
      <c r="AD169">
        <v>132.69999999999999</v>
      </c>
    </row>
    <row r="170" spans="1:30" x14ac:dyDescent="0.3">
      <c r="A170" t="s">
        <v>35</v>
      </c>
      <c r="B170">
        <v>2017</v>
      </c>
      <c r="C170" t="s">
        <v>46</v>
      </c>
      <c r="D170">
        <v>134.30000000000001</v>
      </c>
      <c r="E170">
        <v>143.4</v>
      </c>
      <c r="F170">
        <v>129.30000000000001</v>
      </c>
      <c r="G170">
        <v>139</v>
      </c>
      <c r="H170">
        <v>118.1</v>
      </c>
      <c r="I170">
        <v>145.5</v>
      </c>
      <c r="J170">
        <v>168.6</v>
      </c>
      <c r="K170">
        <v>132.69999999999999</v>
      </c>
      <c r="L170">
        <v>121.2</v>
      </c>
      <c r="M170">
        <v>135.6</v>
      </c>
      <c r="N170">
        <v>128.69999999999999</v>
      </c>
      <c r="O170">
        <v>146.80000000000001</v>
      </c>
      <c r="P170">
        <v>140.6</v>
      </c>
      <c r="Q170">
        <v>149.80000000000001</v>
      </c>
      <c r="R170">
        <v>140.30000000000001</v>
      </c>
      <c r="S170">
        <v>133</v>
      </c>
      <c r="T170">
        <v>139.30000000000001</v>
      </c>
      <c r="U170" t="s">
        <v>99</v>
      </c>
      <c r="V170">
        <v>129.80000000000001</v>
      </c>
      <c r="W170">
        <v>132.80000000000001</v>
      </c>
      <c r="X170">
        <v>130.19999999999999</v>
      </c>
      <c r="Y170">
        <v>117.3</v>
      </c>
      <c r="Z170">
        <v>127.3</v>
      </c>
      <c r="AA170">
        <v>137.6</v>
      </c>
      <c r="AB170">
        <v>124.5</v>
      </c>
      <c r="AC170">
        <v>126.8</v>
      </c>
      <c r="AD170">
        <v>135.4</v>
      </c>
    </row>
    <row r="171" spans="1:30" x14ac:dyDescent="0.3">
      <c r="A171" t="s">
        <v>30</v>
      </c>
      <c r="B171">
        <v>2017</v>
      </c>
      <c r="C171" t="s">
        <v>48</v>
      </c>
      <c r="D171">
        <v>135.19999999999999</v>
      </c>
      <c r="E171">
        <v>142</v>
      </c>
      <c r="F171">
        <v>130.5</v>
      </c>
      <c r="G171">
        <v>140.19999999999999</v>
      </c>
      <c r="H171">
        <v>120.7</v>
      </c>
      <c r="I171">
        <v>147.80000000000001</v>
      </c>
      <c r="J171">
        <v>154.5</v>
      </c>
      <c r="K171">
        <v>137.1</v>
      </c>
      <c r="L171">
        <v>121</v>
      </c>
      <c r="M171">
        <v>134.69999999999999</v>
      </c>
      <c r="N171">
        <v>131.69999999999999</v>
      </c>
      <c r="O171">
        <v>149.30000000000001</v>
      </c>
      <c r="P171">
        <v>139.6</v>
      </c>
      <c r="Q171">
        <v>149.80000000000001</v>
      </c>
      <c r="R171">
        <v>146.1</v>
      </c>
      <c r="S171">
        <v>139.69999999999999</v>
      </c>
      <c r="T171">
        <v>145.19999999999999</v>
      </c>
      <c r="U171" t="s">
        <v>32</v>
      </c>
      <c r="V171">
        <v>137.4</v>
      </c>
      <c r="W171">
        <v>137.9</v>
      </c>
      <c r="X171">
        <v>133.4</v>
      </c>
      <c r="Y171">
        <v>121.2</v>
      </c>
      <c r="Z171">
        <v>132.30000000000001</v>
      </c>
      <c r="AA171">
        <v>139.6</v>
      </c>
      <c r="AB171">
        <v>126.7</v>
      </c>
      <c r="AC171">
        <v>130.30000000000001</v>
      </c>
      <c r="AD171">
        <v>137.6</v>
      </c>
    </row>
    <row r="172" spans="1:30" x14ac:dyDescent="0.3">
      <c r="A172" t="s">
        <v>33</v>
      </c>
      <c r="B172">
        <v>2017</v>
      </c>
      <c r="C172" t="s">
        <v>48</v>
      </c>
      <c r="D172">
        <v>133.6</v>
      </c>
      <c r="E172">
        <v>143</v>
      </c>
      <c r="F172">
        <v>129.69999999999999</v>
      </c>
      <c r="G172">
        <v>138.69999999999999</v>
      </c>
      <c r="H172">
        <v>114.5</v>
      </c>
      <c r="I172">
        <v>137.5</v>
      </c>
      <c r="J172">
        <v>160.69999999999999</v>
      </c>
      <c r="K172">
        <v>124.5</v>
      </c>
      <c r="L172">
        <v>122.4</v>
      </c>
      <c r="M172">
        <v>137.30000000000001</v>
      </c>
      <c r="N172">
        <v>124.8</v>
      </c>
      <c r="O172">
        <v>145</v>
      </c>
      <c r="P172">
        <v>138</v>
      </c>
      <c r="Q172">
        <v>153.6</v>
      </c>
      <c r="R172">
        <v>133.30000000000001</v>
      </c>
      <c r="S172">
        <v>124.6</v>
      </c>
      <c r="T172">
        <v>132</v>
      </c>
      <c r="U172" t="s">
        <v>100</v>
      </c>
      <c r="V172">
        <v>120.6</v>
      </c>
      <c r="W172">
        <v>128.1</v>
      </c>
      <c r="X172">
        <v>126.1</v>
      </c>
      <c r="Y172">
        <v>115.7</v>
      </c>
      <c r="Z172">
        <v>124.5</v>
      </c>
      <c r="AA172">
        <v>135.9</v>
      </c>
      <c r="AB172">
        <v>124.4</v>
      </c>
      <c r="AC172">
        <v>124.5</v>
      </c>
      <c r="AD172">
        <v>132.4</v>
      </c>
    </row>
    <row r="173" spans="1:30" x14ac:dyDescent="0.3">
      <c r="A173" t="s">
        <v>35</v>
      </c>
      <c r="B173">
        <v>2017</v>
      </c>
      <c r="C173" t="s">
        <v>48</v>
      </c>
      <c r="D173">
        <v>134.69999999999999</v>
      </c>
      <c r="E173">
        <v>142.4</v>
      </c>
      <c r="F173">
        <v>130.19999999999999</v>
      </c>
      <c r="G173">
        <v>139.6</v>
      </c>
      <c r="H173">
        <v>118.4</v>
      </c>
      <c r="I173">
        <v>143</v>
      </c>
      <c r="J173">
        <v>156.6</v>
      </c>
      <c r="K173">
        <v>132.9</v>
      </c>
      <c r="L173">
        <v>121.5</v>
      </c>
      <c r="M173">
        <v>135.6</v>
      </c>
      <c r="N173">
        <v>128.80000000000001</v>
      </c>
      <c r="O173">
        <v>147.30000000000001</v>
      </c>
      <c r="P173">
        <v>139</v>
      </c>
      <c r="Q173">
        <v>150.80000000000001</v>
      </c>
      <c r="R173">
        <v>141.1</v>
      </c>
      <c r="S173">
        <v>133.4</v>
      </c>
      <c r="T173">
        <v>140</v>
      </c>
      <c r="U173" t="s">
        <v>100</v>
      </c>
      <c r="V173">
        <v>131</v>
      </c>
      <c r="W173">
        <v>133.30000000000001</v>
      </c>
      <c r="X173">
        <v>130.6</v>
      </c>
      <c r="Y173">
        <v>118.3</v>
      </c>
      <c r="Z173">
        <v>127.9</v>
      </c>
      <c r="AA173">
        <v>137.4</v>
      </c>
      <c r="AB173">
        <v>125.7</v>
      </c>
      <c r="AC173">
        <v>127.5</v>
      </c>
      <c r="AD173">
        <v>135.19999999999999</v>
      </c>
    </row>
    <row r="174" spans="1:30" x14ac:dyDescent="0.3">
      <c r="A174" t="s">
        <v>30</v>
      </c>
      <c r="B174">
        <v>2017</v>
      </c>
      <c r="C174" t="s">
        <v>50</v>
      </c>
      <c r="D174">
        <v>135.9</v>
      </c>
      <c r="E174">
        <v>141.9</v>
      </c>
      <c r="F174">
        <v>131</v>
      </c>
      <c r="G174">
        <v>141.5</v>
      </c>
      <c r="H174">
        <v>121.4</v>
      </c>
      <c r="I174">
        <v>146.69999999999999</v>
      </c>
      <c r="J174">
        <v>157.1</v>
      </c>
      <c r="K174">
        <v>136.4</v>
      </c>
      <c r="L174">
        <v>121.4</v>
      </c>
      <c r="M174">
        <v>135.6</v>
      </c>
      <c r="N174">
        <v>131.30000000000001</v>
      </c>
      <c r="O174">
        <v>150.30000000000001</v>
      </c>
      <c r="P174">
        <v>140.4</v>
      </c>
      <c r="Q174">
        <v>150.5</v>
      </c>
      <c r="R174">
        <v>147.19999999999999</v>
      </c>
      <c r="S174">
        <v>140.6</v>
      </c>
      <c r="T174">
        <v>146.19999999999999</v>
      </c>
      <c r="U174" t="s">
        <v>32</v>
      </c>
      <c r="V174">
        <v>138.1</v>
      </c>
      <c r="W174">
        <v>138.4</v>
      </c>
      <c r="X174">
        <v>134.19999999999999</v>
      </c>
      <c r="Y174">
        <v>121</v>
      </c>
      <c r="Z174">
        <v>133</v>
      </c>
      <c r="AA174">
        <v>140.1</v>
      </c>
      <c r="AB174">
        <v>127.4</v>
      </c>
      <c r="AC174">
        <v>130.69999999999999</v>
      </c>
      <c r="AD174">
        <v>138.30000000000001</v>
      </c>
    </row>
    <row r="175" spans="1:30" x14ac:dyDescent="0.3">
      <c r="A175" t="s">
        <v>33</v>
      </c>
      <c r="B175">
        <v>2017</v>
      </c>
      <c r="C175" t="s">
        <v>50</v>
      </c>
      <c r="D175">
        <v>133.9</v>
      </c>
      <c r="E175">
        <v>142.80000000000001</v>
      </c>
      <c r="F175">
        <v>131.4</v>
      </c>
      <c r="G175">
        <v>139.1</v>
      </c>
      <c r="H175">
        <v>114.9</v>
      </c>
      <c r="I175">
        <v>135.6</v>
      </c>
      <c r="J175">
        <v>173.2</v>
      </c>
      <c r="K175">
        <v>124.1</v>
      </c>
      <c r="L175">
        <v>122.6</v>
      </c>
      <c r="M175">
        <v>137.80000000000001</v>
      </c>
      <c r="N175">
        <v>125.1</v>
      </c>
      <c r="O175">
        <v>145.5</v>
      </c>
      <c r="P175">
        <v>139.69999999999999</v>
      </c>
      <c r="Q175">
        <v>154.6</v>
      </c>
      <c r="R175">
        <v>134</v>
      </c>
      <c r="S175">
        <v>124.9</v>
      </c>
      <c r="T175">
        <v>132.6</v>
      </c>
      <c r="U175" t="s">
        <v>101</v>
      </c>
      <c r="V175">
        <v>122.6</v>
      </c>
      <c r="W175">
        <v>128.30000000000001</v>
      </c>
      <c r="X175">
        <v>126.6</v>
      </c>
      <c r="Y175">
        <v>115</v>
      </c>
      <c r="Z175">
        <v>124.8</v>
      </c>
      <c r="AA175">
        <v>136.30000000000001</v>
      </c>
      <c r="AB175">
        <v>124.6</v>
      </c>
      <c r="AC175">
        <v>124.5</v>
      </c>
      <c r="AD175">
        <v>133.5</v>
      </c>
    </row>
    <row r="176" spans="1:30" x14ac:dyDescent="0.3">
      <c r="A176" t="s">
        <v>35</v>
      </c>
      <c r="B176">
        <v>2017</v>
      </c>
      <c r="C176" t="s">
        <v>50</v>
      </c>
      <c r="D176">
        <v>135.30000000000001</v>
      </c>
      <c r="E176">
        <v>142.19999999999999</v>
      </c>
      <c r="F176">
        <v>131.19999999999999</v>
      </c>
      <c r="G176">
        <v>140.6</v>
      </c>
      <c r="H176">
        <v>119</v>
      </c>
      <c r="I176">
        <v>141.5</v>
      </c>
      <c r="J176">
        <v>162.6</v>
      </c>
      <c r="K176">
        <v>132.30000000000001</v>
      </c>
      <c r="L176">
        <v>121.8</v>
      </c>
      <c r="M176">
        <v>136.30000000000001</v>
      </c>
      <c r="N176">
        <v>128.69999999999999</v>
      </c>
      <c r="O176">
        <v>148.1</v>
      </c>
      <c r="P176">
        <v>140.1</v>
      </c>
      <c r="Q176">
        <v>151.6</v>
      </c>
      <c r="R176">
        <v>142</v>
      </c>
      <c r="S176">
        <v>134.1</v>
      </c>
      <c r="T176">
        <v>140.80000000000001</v>
      </c>
      <c r="U176" t="s">
        <v>101</v>
      </c>
      <c r="V176">
        <v>132.19999999999999</v>
      </c>
      <c r="W176">
        <v>133.6</v>
      </c>
      <c r="X176">
        <v>131.30000000000001</v>
      </c>
      <c r="Y176">
        <v>117.8</v>
      </c>
      <c r="Z176">
        <v>128.4</v>
      </c>
      <c r="AA176">
        <v>137.9</v>
      </c>
      <c r="AB176">
        <v>126.2</v>
      </c>
      <c r="AC176">
        <v>127.7</v>
      </c>
      <c r="AD176">
        <v>136.1</v>
      </c>
    </row>
    <row r="177" spans="1:30" x14ac:dyDescent="0.3">
      <c r="A177" t="s">
        <v>30</v>
      </c>
      <c r="B177">
        <v>2017</v>
      </c>
      <c r="C177" t="s">
        <v>53</v>
      </c>
      <c r="D177">
        <v>136.30000000000001</v>
      </c>
      <c r="E177">
        <v>142.5</v>
      </c>
      <c r="F177">
        <v>140.5</v>
      </c>
      <c r="G177">
        <v>141.5</v>
      </c>
      <c r="H177">
        <v>121.6</v>
      </c>
      <c r="I177">
        <v>147.30000000000001</v>
      </c>
      <c r="J177">
        <v>168</v>
      </c>
      <c r="K177">
        <v>135.80000000000001</v>
      </c>
      <c r="L177">
        <v>122.5</v>
      </c>
      <c r="M177">
        <v>136</v>
      </c>
      <c r="N177">
        <v>131.9</v>
      </c>
      <c r="O177">
        <v>151.4</v>
      </c>
      <c r="P177">
        <v>142.4</v>
      </c>
      <c r="Q177">
        <v>152.1</v>
      </c>
      <c r="R177">
        <v>148.19999999999999</v>
      </c>
      <c r="S177">
        <v>141.5</v>
      </c>
      <c r="T177">
        <v>147.30000000000001</v>
      </c>
      <c r="U177" t="s">
        <v>32</v>
      </c>
      <c r="V177">
        <v>141.1</v>
      </c>
      <c r="W177">
        <v>139.4</v>
      </c>
      <c r="X177">
        <v>135.80000000000001</v>
      </c>
      <c r="Y177">
        <v>121.6</v>
      </c>
      <c r="Z177">
        <v>133.69999999999999</v>
      </c>
      <c r="AA177">
        <v>141.5</v>
      </c>
      <c r="AB177">
        <v>128.1</v>
      </c>
      <c r="AC177">
        <v>131.69999999999999</v>
      </c>
      <c r="AD177">
        <v>140</v>
      </c>
    </row>
    <row r="178" spans="1:30" x14ac:dyDescent="0.3">
      <c r="A178" t="s">
        <v>33</v>
      </c>
      <c r="B178">
        <v>2017</v>
      </c>
      <c r="C178" t="s">
        <v>53</v>
      </c>
      <c r="D178">
        <v>134.30000000000001</v>
      </c>
      <c r="E178">
        <v>142.1</v>
      </c>
      <c r="F178">
        <v>146.69999999999999</v>
      </c>
      <c r="G178">
        <v>139.5</v>
      </c>
      <c r="H178">
        <v>115.2</v>
      </c>
      <c r="I178">
        <v>136.4</v>
      </c>
      <c r="J178">
        <v>185.2</v>
      </c>
      <c r="K178">
        <v>122.2</v>
      </c>
      <c r="L178">
        <v>123.9</v>
      </c>
      <c r="M178">
        <v>138.30000000000001</v>
      </c>
      <c r="N178">
        <v>125.4</v>
      </c>
      <c r="O178">
        <v>146</v>
      </c>
      <c r="P178">
        <v>141.5</v>
      </c>
      <c r="Q178">
        <v>156.19999999999999</v>
      </c>
      <c r="R178">
        <v>135</v>
      </c>
      <c r="S178">
        <v>125.4</v>
      </c>
      <c r="T178">
        <v>133.5</v>
      </c>
      <c r="U178" t="s">
        <v>102</v>
      </c>
      <c r="V178">
        <v>125.7</v>
      </c>
      <c r="W178">
        <v>128.80000000000001</v>
      </c>
      <c r="X178">
        <v>127.4</v>
      </c>
      <c r="Y178">
        <v>115.3</v>
      </c>
      <c r="Z178">
        <v>125.1</v>
      </c>
      <c r="AA178">
        <v>136.6</v>
      </c>
      <c r="AB178">
        <v>124.9</v>
      </c>
      <c r="AC178">
        <v>124.9</v>
      </c>
      <c r="AD178">
        <v>134.80000000000001</v>
      </c>
    </row>
    <row r="179" spans="1:30" x14ac:dyDescent="0.3">
      <c r="A179" t="s">
        <v>35</v>
      </c>
      <c r="B179">
        <v>2017</v>
      </c>
      <c r="C179" t="s">
        <v>53</v>
      </c>
      <c r="D179">
        <v>135.69999999999999</v>
      </c>
      <c r="E179">
        <v>142.4</v>
      </c>
      <c r="F179">
        <v>142.9</v>
      </c>
      <c r="G179">
        <v>140.80000000000001</v>
      </c>
      <c r="H179">
        <v>119.2</v>
      </c>
      <c r="I179">
        <v>142.19999999999999</v>
      </c>
      <c r="J179">
        <v>173.8</v>
      </c>
      <c r="K179">
        <v>131.19999999999999</v>
      </c>
      <c r="L179">
        <v>123</v>
      </c>
      <c r="M179">
        <v>136.80000000000001</v>
      </c>
      <c r="N179">
        <v>129.19999999999999</v>
      </c>
      <c r="O179">
        <v>148.9</v>
      </c>
      <c r="P179">
        <v>142.1</v>
      </c>
      <c r="Q179">
        <v>153.19999999999999</v>
      </c>
      <c r="R179">
        <v>143</v>
      </c>
      <c r="S179">
        <v>134.80000000000001</v>
      </c>
      <c r="T179">
        <v>141.80000000000001</v>
      </c>
      <c r="U179" t="s">
        <v>102</v>
      </c>
      <c r="V179">
        <v>135.30000000000001</v>
      </c>
      <c r="W179">
        <v>134.4</v>
      </c>
      <c r="X179">
        <v>132.6</v>
      </c>
      <c r="Y179">
        <v>118.3</v>
      </c>
      <c r="Z179">
        <v>128.9</v>
      </c>
      <c r="AA179">
        <v>138.6</v>
      </c>
      <c r="AB179">
        <v>126.8</v>
      </c>
      <c r="AC179">
        <v>128.4</v>
      </c>
      <c r="AD179">
        <v>137.6</v>
      </c>
    </row>
    <row r="180" spans="1:30" x14ac:dyDescent="0.3">
      <c r="A180" t="s">
        <v>30</v>
      </c>
      <c r="B180">
        <v>2017</v>
      </c>
      <c r="C180" t="s">
        <v>55</v>
      </c>
      <c r="D180">
        <v>136.4</v>
      </c>
      <c r="E180">
        <v>143.69999999999999</v>
      </c>
      <c r="F180">
        <v>144.80000000000001</v>
      </c>
      <c r="G180">
        <v>141.9</v>
      </c>
      <c r="H180">
        <v>123.1</v>
      </c>
      <c r="I180">
        <v>147.19999999999999</v>
      </c>
      <c r="J180">
        <v>161</v>
      </c>
      <c r="K180">
        <v>133.80000000000001</v>
      </c>
      <c r="L180">
        <v>121.9</v>
      </c>
      <c r="M180">
        <v>135.80000000000001</v>
      </c>
      <c r="N180">
        <v>131.1</v>
      </c>
      <c r="O180">
        <v>151.4</v>
      </c>
      <c r="P180">
        <v>141.5</v>
      </c>
      <c r="Q180">
        <v>153.19999999999999</v>
      </c>
      <c r="R180">
        <v>148</v>
      </c>
      <c r="S180">
        <v>141.9</v>
      </c>
      <c r="T180">
        <v>147.19999999999999</v>
      </c>
      <c r="U180" t="s">
        <v>32</v>
      </c>
      <c r="V180">
        <v>142.6</v>
      </c>
      <c r="W180">
        <v>139.5</v>
      </c>
      <c r="X180">
        <v>136.1</v>
      </c>
      <c r="Y180">
        <v>122</v>
      </c>
      <c r="Z180">
        <v>133.4</v>
      </c>
      <c r="AA180">
        <v>141.1</v>
      </c>
      <c r="AB180">
        <v>127.8</v>
      </c>
      <c r="AC180">
        <v>131.9</v>
      </c>
      <c r="AD180">
        <v>139.80000000000001</v>
      </c>
    </row>
    <row r="181" spans="1:30" x14ac:dyDescent="0.3">
      <c r="A181" t="s">
        <v>33</v>
      </c>
      <c r="B181">
        <v>2017</v>
      </c>
      <c r="C181" t="s">
        <v>55</v>
      </c>
      <c r="D181">
        <v>134.4</v>
      </c>
      <c r="E181">
        <v>142.6</v>
      </c>
      <c r="F181">
        <v>145.9</v>
      </c>
      <c r="G181">
        <v>139.5</v>
      </c>
      <c r="H181">
        <v>115.9</v>
      </c>
      <c r="I181">
        <v>135</v>
      </c>
      <c r="J181">
        <v>163.19999999999999</v>
      </c>
      <c r="K181">
        <v>119.8</v>
      </c>
      <c r="L181">
        <v>120.7</v>
      </c>
      <c r="M181">
        <v>139.69999999999999</v>
      </c>
      <c r="N181">
        <v>125.7</v>
      </c>
      <c r="O181">
        <v>146.30000000000001</v>
      </c>
      <c r="P181">
        <v>138.80000000000001</v>
      </c>
      <c r="Q181">
        <v>157</v>
      </c>
      <c r="R181">
        <v>135.6</v>
      </c>
      <c r="S181">
        <v>125.6</v>
      </c>
      <c r="T181">
        <v>134</v>
      </c>
      <c r="U181" t="s">
        <v>103</v>
      </c>
      <c r="V181">
        <v>126.8</v>
      </c>
      <c r="W181">
        <v>129.30000000000001</v>
      </c>
      <c r="X181">
        <v>128.19999999999999</v>
      </c>
      <c r="Y181">
        <v>115.3</v>
      </c>
      <c r="Z181">
        <v>125.6</v>
      </c>
      <c r="AA181">
        <v>136.69999999999999</v>
      </c>
      <c r="AB181">
        <v>124.6</v>
      </c>
      <c r="AC181">
        <v>125.1</v>
      </c>
      <c r="AD181">
        <v>134.1</v>
      </c>
    </row>
    <row r="182" spans="1:30" x14ac:dyDescent="0.3">
      <c r="A182" t="s">
        <v>35</v>
      </c>
      <c r="B182">
        <v>2017</v>
      </c>
      <c r="C182" t="s">
        <v>55</v>
      </c>
      <c r="D182">
        <v>135.80000000000001</v>
      </c>
      <c r="E182">
        <v>143.30000000000001</v>
      </c>
      <c r="F182">
        <v>145.19999999999999</v>
      </c>
      <c r="G182">
        <v>141</v>
      </c>
      <c r="H182">
        <v>120.5</v>
      </c>
      <c r="I182">
        <v>141.5</v>
      </c>
      <c r="J182">
        <v>161.69999999999999</v>
      </c>
      <c r="K182">
        <v>129.1</v>
      </c>
      <c r="L182">
        <v>121.5</v>
      </c>
      <c r="M182">
        <v>137.1</v>
      </c>
      <c r="N182">
        <v>128.80000000000001</v>
      </c>
      <c r="O182">
        <v>149</v>
      </c>
      <c r="P182">
        <v>140.5</v>
      </c>
      <c r="Q182">
        <v>154.19999999999999</v>
      </c>
      <c r="R182">
        <v>143.1</v>
      </c>
      <c r="S182">
        <v>135.1</v>
      </c>
      <c r="T182">
        <v>142</v>
      </c>
      <c r="U182" t="s">
        <v>103</v>
      </c>
      <c r="V182">
        <v>136.6</v>
      </c>
      <c r="W182">
        <v>134.69999999999999</v>
      </c>
      <c r="X182">
        <v>133.1</v>
      </c>
      <c r="Y182">
        <v>118.5</v>
      </c>
      <c r="Z182">
        <v>129</v>
      </c>
      <c r="AA182">
        <v>138.5</v>
      </c>
      <c r="AB182">
        <v>126.5</v>
      </c>
      <c r="AC182">
        <v>128.6</v>
      </c>
      <c r="AD182">
        <v>137.19999999999999</v>
      </c>
    </row>
    <row r="183" spans="1:30" x14ac:dyDescent="0.3">
      <c r="A183" t="s">
        <v>30</v>
      </c>
      <c r="B183">
        <v>2018</v>
      </c>
      <c r="C183" t="s">
        <v>31</v>
      </c>
      <c r="D183">
        <v>136.6</v>
      </c>
      <c r="E183">
        <v>144.4</v>
      </c>
      <c r="F183">
        <v>143.80000000000001</v>
      </c>
      <c r="G183">
        <v>142</v>
      </c>
      <c r="H183">
        <v>123.2</v>
      </c>
      <c r="I183">
        <v>147.9</v>
      </c>
      <c r="J183">
        <v>152.1</v>
      </c>
      <c r="K183">
        <v>131.80000000000001</v>
      </c>
      <c r="L183">
        <v>119.5</v>
      </c>
      <c r="M183">
        <v>136</v>
      </c>
      <c r="N183">
        <v>131.19999999999999</v>
      </c>
      <c r="O183">
        <v>151.80000000000001</v>
      </c>
      <c r="P183">
        <v>140.4</v>
      </c>
      <c r="Q183">
        <v>153.6</v>
      </c>
      <c r="R183">
        <v>148.30000000000001</v>
      </c>
      <c r="S183">
        <v>142.30000000000001</v>
      </c>
      <c r="T183">
        <v>147.5</v>
      </c>
      <c r="U183" t="s">
        <v>32</v>
      </c>
      <c r="V183">
        <v>142.30000000000001</v>
      </c>
      <c r="W183">
        <v>139.80000000000001</v>
      </c>
      <c r="X183">
        <v>136</v>
      </c>
      <c r="Y183">
        <v>122.7</v>
      </c>
      <c r="Z183">
        <v>134.30000000000001</v>
      </c>
      <c r="AA183">
        <v>141.6</v>
      </c>
      <c r="AB183">
        <v>128.6</v>
      </c>
      <c r="AC183">
        <v>132.30000000000001</v>
      </c>
      <c r="AD183">
        <v>139.30000000000001</v>
      </c>
    </row>
    <row r="184" spans="1:30" x14ac:dyDescent="0.3">
      <c r="A184" t="s">
        <v>33</v>
      </c>
      <c r="B184">
        <v>2018</v>
      </c>
      <c r="C184" t="s">
        <v>31</v>
      </c>
      <c r="D184">
        <v>134.6</v>
      </c>
      <c r="E184">
        <v>143.69999999999999</v>
      </c>
      <c r="F184">
        <v>143.6</v>
      </c>
      <c r="G184">
        <v>139.6</v>
      </c>
      <c r="H184">
        <v>116.4</v>
      </c>
      <c r="I184">
        <v>133.80000000000001</v>
      </c>
      <c r="J184">
        <v>150.5</v>
      </c>
      <c r="K184">
        <v>118.4</v>
      </c>
      <c r="L184">
        <v>117.3</v>
      </c>
      <c r="M184">
        <v>140.5</v>
      </c>
      <c r="N184">
        <v>125.9</v>
      </c>
      <c r="O184">
        <v>146.80000000000001</v>
      </c>
      <c r="P184">
        <v>137.19999999999999</v>
      </c>
      <c r="Q184">
        <v>157.69999999999999</v>
      </c>
      <c r="R184">
        <v>136</v>
      </c>
      <c r="S184">
        <v>125.9</v>
      </c>
      <c r="T184">
        <v>134.4</v>
      </c>
      <c r="U184" t="s">
        <v>104</v>
      </c>
      <c r="V184">
        <v>127.3</v>
      </c>
      <c r="W184">
        <v>129.5</v>
      </c>
      <c r="X184">
        <v>129</v>
      </c>
      <c r="Y184">
        <v>116.3</v>
      </c>
      <c r="Z184">
        <v>126.2</v>
      </c>
      <c r="AA184">
        <v>137.1</v>
      </c>
      <c r="AB184">
        <v>125.5</v>
      </c>
      <c r="AC184">
        <v>125.8</v>
      </c>
      <c r="AD184">
        <v>134.1</v>
      </c>
    </row>
    <row r="185" spans="1:30" x14ac:dyDescent="0.3">
      <c r="A185" t="s">
        <v>35</v>
      </c>
      <c r="B185">
        <v>2018</v>
      </c>
      <c r="C185" t="s">
        <v>31</v>
      </c>
      <c r="D185">
        <v>136</v>
      </c>
      <c r="E185">
        <v>144.19999999999999</v>
      </c>
      <c r="F185">
        <v>143.69999999999999</v>
      </c>
      <c r="G185">
        <v>141.1</v>
      </c>
      <c r="H185">
        <v>120.7</v>
      </c>
      <c r="I185">
        <v>141.30000000000001</v>
      </c>
      <c r="J185">
        <v>151.6</v>
      </c>
      <c r="K185">
        <v>127.3</v>
      </c>
      <c r="L185">
        <v>118.8</v>
      </c>
      <c r="M185">
        <v>137.5</v>
      </c>
      <c r="N185">
        <v>129</v>
      </c>
      <c r="O185">
        <v>149.5</v>
      </c>
      <c r="P185">
        <v>139.19999999999999</v>
      </c>
      <c r="Q185">
        <v>154.69999999999999</v>
      </c>
      <c r="R185">
        <v>143.5</v>
      </c>
      <c r="S185">
        <v>135.5</v>
      </c>
      <c r="T185">
        <v>142.30000000000001</v>
      </c>
      <c r="U185" t="s">
        <v>104</v>
      </c>
      <c r="V185">
        <v>136.6</v>
      </c>
      <c r="W185">
        <v>134.9</v>
      </c>
      <c r="X185">
        <v>133.30000000000001</v>
      </c>
      <c r="Y185">
        <v>119.3</v>
      </c>
      <c r="Z185">
        <v>129.69999999999999</v>
      </c>
      <c r="AA185">
        <v>139</v>
      </c>
      <c r="AB185">
        <v>127.3</v>
      </c>
      <c r="AC185">
        <v>129.1</v>
      </c>
      <c r="AD185">
        <v>136.9</v>
      </c>
    </row>
    <row r="186" spans="1:30" x14ac:dyDescent="0.3">
      <c r="A186" t="s">
        <v>30</v>
      </c>
      <c r="B186">
        <v>2018</v>
      </c>
      <c r="C186" t="s">
        <v>36</v>
      </c>
      <c r="D186">
        <v>136.4</v>
      </c>
      <c r="E186">
        <v>143.69999999999999</v>
      </c>
      <c r="F186">
        <v>140.6</v>
      </c>
      <c r="G186">
        <v>141.5</v>
      </c>
      <c r="H186">
        <v>122.9</v>
      </c>
      <c r="I186">
        <v>149.4</v>
      </c>
      <c r="J186">
        <v>142.4</v>
      </c>
      <c r="K186">
        <v>130.19999999999999</v>
      </c>
      <c r="L186">
        <v>117.9</v>
      </c>
      <c r="M186">
        <v>135.6</v>
      </c>
      <c r="N186">
        <v>130.5</v>
      </c>
      <c r="O186">
        <v>151.69999999999999</v>
      </c>
      <c r="P186">
        <v>138.69999999999999</v>
      </c>
      <c r="Q186">
        <v>153.30000000000001</v>
      </c>
      <c r="R186">
        <v>148.69999999999999</v>
      </c>
      <c r="S186">
        <v>142.4</v>
      </c>
      <c r="T186">
        <v>147.80000000000001</v>
      </c>
      <c r="U186" t="s">
        <v>32</v>
      </c>
      <c r="V186">
        <v>142.4</v>
      </c>
      <c r="W186">
        <v>139.9</v>
      </c>
      <c r="X186">
        <v>136.19999999999999</v>
      </c>
      <c r="Y186">
        <v>123.3</v>
      </c>
      <c r="Z186">
        <v>134.30000000000001</v>
      </c>
      <c r="AA186">
        <v>141.5</v>
      </c>
      <c r="AB186">
        <v>128.80000000000001</v>
      </c>
      <c r="AC186">
        <v>132.5</v>
      </c>
      <c r="AD186">
        <v>138.5</v>
      </c>
    </row>
    <row r="187" spans="1:30" x14ac:dyDescent="0.3">
      <c r="A187" t="s">
        <v>33</v>
      </c>
      <c r="B187">
        <v>2018</v>
      </c>
      <c r="C187" t="s">
        <v>36</v>
      </c>
      <c r="D187">
        <v>134.80000000000001</v>
      </c>
      <c r="E187">
        <v>143</v>
      </c>
      <c r="F187">
        <v>139.9</v>
      </c>
      <c r="G187">
        <v>139.9</v>
      </c>
      <c r="H187">
        <v>116.2</v>
      </c>
      <c r="I187">
        <v>135.5</v>
      </c>
      <c r="J187">
        <v>136.9</v>
      </c>
      <c r="K187">
        <v>117</v>
      </c>
      <c r="L187">
        <v>115.4</v>
      </c>
      <c r="M187">
        <v>140.69999999999999</v>
      </c>
      <c r="N187">
        <v>125.9</v>
      </c>
      <c r="O187">
        <v>147.1</v>
      </c>
      <c r="P187">
        <v>135.6</v>
      </c>
      <c r="Q187">
        <v>159.30000000000001</v>
      </c>
      <c r="R187">
        <v>136.30000000000001</v>
      </c>
      <c r="S187">
        <v>126.1</v>
      </c>
      <c r="T187">
        <v>134.69999999999999</v>
      </c>
      <c r="U187" t="s">
        <v>105</v>
      </c>
      <c r="V187">
        <v>127.3</v>
      </c>
      <c r="W187">
        <v>129.9</v>
      </c>
      <c r="X187">
        <v>129.80000000000001</v>
      </c>
      <c r="Y187">
        <v>117.4</v>
      </c>
      <c r="Z187">
        <v>126.5</v>
      </c>
      <c r="AA187">
        <v>137.19999999999999</v>
      </c>
      <c r="AB187">
        <v>126.2</v>
      </c>
      <c r="AC187">
        <v>126.5</v>
      </c>
      <c r="AD187">
        <v>134</v>
      </c>
    </row>
    <row r="188" spans="1:30" x14ac:dyDescent="0.3">
      <c r="A188" t="s">
        <v>35</v>
      </c>
      <c r="B188">
        <v>2018</v>
      </c>
      <c r="C188" t="s">
        <v>36</v>
      </c>
      <c r="D188">
        <v>135.9</v>
      </c>
      <c r="E188">
        <v>143.5</v>
      </c>
      <c r="F188">
        <v>140.30000000000001</v>
      </c>
      <c r="G188">
        <v>140.9</v>
      </c>
      <c r="H188">
        <v>120.4</v>
      </c>
      <c r="I188">
        <v>142.9</v>
      </c>
      <c r="J188">
        <v>140.5</v>
      </c>
      <c r="K188">
        <v>125.8</v>
      </c>
      <c r="L188">
        <v>117.1</v>
      </c>
      <c r="M188">
        <v>137.30000000000001</v>
      </c>
      <c r="N188">
        <v>128.6</v>
      </c>
      <c r="O188">
        <v>149.6</v>
      </c>
      <c r="P188">
        <v>137.6</v>
      </c>
      <c r="Q188">
        <v>154.9</v>
      </c>
      <c r="R188">
        <v>143.80000000000001</v>
      </c>
      <c r="S188">
        <v>135.6</v>
      </c>
      <c r="T188">
        <v>142.6</v>
      </c>
      <c r="U188" t="s">
        <v>105</v>
      </c>
      <c r="V188">
        <v>136.69999999999999</v>
      </c>
      <c r="W188">
        <v>135.19999999999999</v>
      </c>
      <c r="X188">
        <v>133.80000000000001</v>
      </c>
      <c r="Y188">
        <v>120.2</v>
      </c>
      <c r="Z188">
        <v>129.9</v>
      </c>
      <c r="AA188">
        <v>139</v>
      </c>
      <c r="AB188">
        <v>127.7</v>
      </c>
      <c r="AC188">
        <v>129.6</v>
      </c>
      <c r="AD188">
        <v>136.4</v>
      </c>
    </row>
    <row r="189" spans="1:30" x14ac:dyDescent="0.3">
      <c r="A189" t="s">
        <v>30</v>
      </c>
      <c r="B189">
        <v>2018</v>
      </c>
      <c r="C189" t="s">
        <v>38</v>
      </c>
      <c r="D189">
        <v>136.80000000000001</v>
      </c>
      <c r="E189">
        <v>143.80000000000001</v>
      </c>
      <c r="F189">
        <v>140</v>
      </c>
      <c r="G189">
        <v>142</v>
      </c>
      <c r="H189">
        <v>123.2</v>
      </c>
      <c r="I189">
        <v>152.9</v>
      </c>
      <c r="J189">
        <v>138</v>
      </c>
      <c r="K189">
        <v>129.30000000000001</v>
      </c>
      <c r="L189">
        <v>117.1</v>
      </c>
      <c r="M189">
        <v>136.30000000000001</v>
      </c>
      <c r="N189">
        <v>131.19999999999999</v>
      </c>
      <c r="O189">
        <v>152.80000000000001</v>
      </c>
      <c r="P189">
        <v>138.6</v>
      </c>
      <c r="Q189">
        <v>155.1</v>
      </c>
      <c r="R189">
        <v>149.19999999999999</v>
      </c>
      <c r="S189">
        <v>143</v>
      </c>
      <c r="T189">
        <v>148.30000000000001</v>
      </c>
      <c r="U189" t="s">
        <v>32</v>
      </c>
      <c r="V189">
        <v>142.6</v>
      </c>
      <c r="W189">
        <v>139.9</v>
      </c>
      <c r="X189">
        <v>136.69999999999999</v>
      </c>
      <c r="Y189">
        <v>124.6</v>
      </c>
      <c r="Z189">
        <v>135.1</v>
      </c>
      <c r="AA189">
        <v>142.69999999999999</v>
      </c>
      <c r="AB189">
        <v>129.30000000000001</v>
      </c>
      <c r="AC189">
        <v>133.30000000000001</v>
      </c>
      <c r="AD189">
        <v>138.69999999999999</v>
      </c>
    </row>
    <row r="190" spans="1:30" x14ac:dyDescent="0.3">
      <c r="A190" t="s">
        <v>33</v>
      </c>
      <c r="B190">
        <v>2018</v>
      </c>
      <c r="C190" t="s">
        <v>38</v>
      </c>
      <c r="D190">
        <v>135</v>
      </c>
      <c r="E190">
        <v>143.1</v>
      </c>
      <c r="F190">
        <v>135.5</v>
      </c>
      <c r="G190">
        <v>139.9</v>
      </c>
      <c r="H190">
        <v>116.5</v>
      </c>
      <c r="I190">
        <v>138.5</v>
      </c>
      <c r="J190">
        <v>128</v>
      </c>
      <c r="K190">
        <v>115.5</v>
      </c>
      <c r="L190">
        <v>114.2</v>
      </c>
      <c r="M190">
        <v>140.69999999999999</v>
      </c>
      <c r="N190">
        <v>126.2</v>
      </c>
      <c r="O190">
        <v>147.6</v>
      </c>
      <c r="P190">
        <v>134.80000000000001</v>
      </c>
      <c r="Q190">
        <v>159.69999999999999</v>
      </c>
      <c r="R190">
        <v>136.69999999999999</v>
      </c>
      <c r="S190">
        <v>126.7</v>
      </c>
      <c r="T190">
        <v>135.19999999999999</v>
      </c>
      <c r="U190" t="s">
        <v>106</v>
      </c>
      <c r="V190">
        <v>126.4</v>
      </c>
      <c r="W190">
        <v>130.80000000000001</v>
      </c>
      <c r="X190">
        <v>130.5</v>
      </c>
      <c r="Y190">
        <v>117.8</v>
      </c>
      <c r="Z190">
        <v>126.8</v>
      </c>
      <c r="AA190">
        <v>137.80000000000001</v>
      </c>
      <c r="AB190">
        <v>126.7</v>
      </c>
      <c r="AC190">
        <v>127.1</v>
      </c>
      <c r="AD190">
        <v>134</v>
      </c>
    </row>
    <row r="191" spans="1:30" x14ac:dyDescent="0.3">
      <c r="A191" t="s">
        <v>35</v>
      </c>
      <c r="B191">
        <v>2018</v>
      </c>
      <c r="C191" t="s">
        <v>38</v>
      </c>
      <c r="D191">
        <v>136.19999999999999</v>
      </c>
      <c r="E191">
        <v>143.6</v>
      </c>
      <c r="F191">
        <v>138.30000000000001</v>
      </c>
      <c r="G191">
        <v>141.19999999999999</v>
      </c>
      <c r="H191">
        <v>120.7</v>
      </c>
      <c r="I191">
        <v>146.19999999999999</v>
      </c>
      <c r="J191">
        <v>134.6</v>
      </c>
      <c r="K191">
        <v>124.6</v>
      </c>
      <c r="L191">
        <v>116.1</v>
      </c>
      <c r="M191">
        <v>137.80000000000001</v>
      </c>
      <c r="N191">
        <v>129.1</v>
      </c>
      <c r="O191">
        <v>150.4</v>
      </c>
      <c r="P191">
        <v>137.19999999999999</v>
      </c>
      <c r="Q191">
        <v>156.30000000000001</v>
      </c>
      <c r="R191">
        <v>144.30000000000001</v>
      </c>
      <c r="S191">
        <v>136.19999999999999</v>
      </c>
      <c r="T191">
        <v>143.1</v>
      </c>
      <c r="U191" t="s">
        <v>106</v>
      </c>
      <c r="V191">
        <v>136.5</v>
      </c>
      <c r="W191">
        <v>135.6</v>
      </c>
      <c r="X191">
        <v>134.30000000000001</v>
      </c>
      <c r="Y191">
        <v>121</v>
      </c>
      <c r="Z191">
        <v>130.4</v>
      </c>
      <c r="AA191">
        <v>139.80000000000001</v>
      </c>
      <c r="AB191">
        <v>128.19999999999999</v>
      </c>
      <c r="AC191">
        <v>130.30000000000001</v>
      </c>
      <c r="AD191">
        <v>136.5</v>
      </c>
    </row>
    <row r="192" spans="1:30" x14ac:dyDescent="0.3">
      <c r="A192" t="s">
        <v>30</v>
      </c>
      <c r="B192">
        <v>2018</v>
      </c>
      <c r="C192" t="s">
        <v>39</v>
      </c>
      <c r="D192">
        <v>137.1</v>
      </c>
      <c r="E192">
        <v>144.5</v>
      </c>
      <c r="F192">
        <v>135.9</v>
      </c>
      <c r="G192">
        <v>142.4</v>
      </c>
      <c r="H192">
        <v>123.5</v>
      </c>
      <c r="I192">
        <v>156.4</v>
      </c>
      <c r="J192">
        <v>135.1</v>
      </c>
      <c r="K192">
        <v>128.4</v>
      </c>
      <c r="L192">
        <v>115.2</v>
      </c>
      <c r="M192">
        <v>137.19999999999999</v>
      </c>
      <c r="N192">
        <v>131.9</v>
      </c>
      <c r="O192">
        <v>153.80000000000001</v>
      </c>
      <c r="P192">
        <v>138.6</v>
      </c>
      <c r="Q192">
        <v>156.1</v>
      </c>
      <c r="R192">
        <v>150.1</v>
      </c>
      <c r="S192">
        <v>143.30000000000001</v>
      </c>
      <c r="T192">
        <v>149.1</v>
      </c>
      <c r="U192" t="s">
        <v>32</v>
      </c>
      <c r="V192">
        <v>143.80000000000001</v>
      </c>
      <c r="W192">
        <v>140.9</v>
      </c>
      <c r="X192">
        <v>137.6</v>
      </c>
      <c r="Y192">
        <v>125.3</v>
      </c>
      <c r="Z192">
        <v>136</v>
      </c>
      <c r="AA192">
        <v>143.69999999999999</v>
      </c>
      <c r="AB192">
        <v>130.4</v>
      </c>
      <c r="AC192">
        <v>134.19999999999999</v>
      </c>
      <c r="AD192">
        <v>139.1</v>
      </c>
    </row>
    <row r="193" spans="1:30" x14ac:dyDescent="0.3">
      <c r="A193" t="s">
        <v>33</v>
      </c>
      <c r="B193">
        <v>2018</v>
      </c>
      <c r="C193" t="s">
        <v>39</v>
      </c>
      <c r="D193">
        <v>135</v>
      </c>
      <c r="E193">
        <v>144.30000000000001</v>
      </c>
      <c r="F193">
        <v>130.80000000000001</v>
      </c>
      <c r="G193">
        <v>140.30000000000001</v>
      </c>
      <c r="H193">
        <v>116.6</v>
      </c>
      <c r="I193">
        <v>150.1</v>
      </c>
      <c r="J193">
        <v>127.6</v>
      </c>
      <c r="K193">
        <v>114</v>
      </c>
      <c r="L193">
        <v>110.6</v>
      </c>
      <c r="M193">
        <v>140.19999999999999</v>
      </c>
      <c r="N193">
        <v>126.5</v>
      </c>
      <c r="O193">
        <v>148.30000000000001</v>
      </c>
      <c r="P193">
        <v>135.69999999999999</v>
      </c>
      <c r="Q193">
        <v>159.19999999999999</v>
      </c>
      <c r="R193">
        <v>137.80000000000001</v>
      </c>
      <c r="S193">
        <v>127.4</v>
      </c>
      <c r="T193">
        <v>136.19999999999999</v>
      </c>
      <c r="U193" t="s">
        <v>107</v>
      </c>
      <c r="V193">
        <v>124.6</v>
      </c>
      <c r="W193">
        <v>131.80000000000001</v>
      </c>
      <c r="X193">
        <v>131.30000000000001</v>
      </c>
      <c r="Y193">
        <v>118.9</v>
      </c>
      <c r="Z193">
        <v>127.6</v>
      </c>
      <c r="AA193">
        <v>139.69999999999999</v>
      </c>
      <c r="AB193">
        <v>127.6</v>
      </c>
      <c r="AC193">
        <v>128.19999999999999</v>
      </c>
      <c r="AD193">
        <v>134.80000000000001</v>
      </c>
    </row>
    <row r="194" spans="1:30" x14ac:dyDescent="0.3">
      <c r="A194" t="s">
        <v>35</v>
      </c>
      <c r="B194">
        <v>2018</v>
      </c>
      <c r="C194" t="s">
        <v>39</v>
      </c>
      <c r="D194">
        <v>136.4</v>
      </c>
      <c r="E194">
        <v>144.4</v>
      </c>
      <c r="F194">
        <v>133.9</v>
      </c>
      <c r="G194">
        <v>141.6</v>
      </c>
      <c r="H194">
        <v>121</v>
      </c>
      <c r="I194">
        <v>153.5</v>
      </c>
      <c r="J194">
        <v>132.6</v>
      </c>
      <c r="K194">
        <v>123.5</v>
      </c>
      <c r="L194">
        <v>113.7</v>
      </c>
      <c r="M194">
        <v>138.19999999999999</v>
      </c>
      <c r="N194">
        <v>129.6</v>
      </c>
      <c r="O194">
        <v>151.19999999999999</v>
      </c>
      <c r="P194">
        <v>137.5</v>
      </c>
      <c r="Q194">
        <v>156.9</v>
      </c>
      <c r="R194">
        <v>145.30000000000001</v>
      </c>
      <c r="S194">
        <v>136.69999999999999</v>
      </c>
      <c r="T194">
        <v>144</v>
      </c>
      <c r="U194" t="s">
        <v>107</v>
      </c>
      <c r="V194">
        <v>136.5</v>
      </c>
      <c r="W194">
        <v>136.6</v>
      </c>
      <c r="X194">
        <v>135.19999999999999</v>
      </c>
      <c r="Y194">
        <v>121.9</v>
      </c>
      <c r="Z194">
        <v>131.30000000000001</v>
      </c>
      <c r="AA194">
        <v>141.4</v>
      </c>
      <c r="AB194">
        <v>129.19999999999999</v>
      </c>
      <c r="AC194">
        <v>131.30000000000001</v>
      </c>
      <c r="AD194">
        <v>137.1</v>
      </c>
    </row>
    <row r="195" spans="1:30" x14ac:dyDescent="0.3">
      <c r="A195" t="s">
        <v>30</v>
      </c>
      <c r="B195">
        <v>2018</v>
      </c>
      <c r="C195" t="s">
        <v>41</v>
      </c>
      <c r="D195">
        <v>137.4</v>
      </c>
      <c r="E195">
        <v>145.69999999999999</v>
      </c>
      <c r="F195">
        <v>135.5</v>
      </c>
      <c r="G195">
        <v>142.9</v>
      </c>
      <c r="H195">
        <v>123.6</v>
      </c>
      <c r="I195">
        <v>157.5</v>
      </c>
      <c r="J195">
        <v>137.80000000000001</v>
      </c>
      <c r="K195">
        <v>127.2</v>
      </c>
      <c r="L195">
        <v>111.8</v>
      </c>
      <c r="M195">
        <v>137.4</v>
      </c>
      <c r="N195">
        <v>132.19999999999999</v>
      </c>
      <c r="O195">
        <v>154.30000000000001</v>
      </c>
      <c r="P195">
        <v>139.1</v>
      </c>
      <c r="Q195">
        <v>157</v>
      </c>
      <c r="R195">
        <v>150.80000000000001</v>
      </c>
      <c r="S195">
        <v>144.1</v>
      </c>
      <c r="T195">
        <v>149.80000000000001</v>
      </c>
      <c r="U195" t="s">
        <v>32</v>
      </c>
      <c r="V195">
        <v>144.30000000000001</v>
      </c>
      <c r="W195">
        <v>141.80000000000001</v>
      </c>
      <c r="X195">
        <v>138.4</v>
      </c>
      <c r="Y195">
        <v>126.4</v>
      </c>
      <c r="Z195">
        <v>136.80000000000001</v>
      </c>
      <c r="AA195">
        <v>144.4</v>
      </c>
      <c r="AB195">
        <v>131.19999999999999</v>
      </c>
      <c r="AC195">
        <v>135.1</v>
      </c>
      <c r="AD195">
        <v>139.80000000000001</v>
      </c>
    </row>
    <row r="196" spans="1:30" x14ac:dyDescent="0.3">
      <c r="A196" t="s">
        <v>33</v>
      </c>
      <c r="B196">
        <v>2018</v>
      </c>
      <c r="C196" t="s">
        <v>41</v>
      </c>
      <c r="D196">
        <v>135</v>
      </c>
      <c r="E196">
        <v>148.19999999999999</v>
      </c>
      <c r="F196">
        <v>130.5</v>
      </c>
      <c r="G196">
        <v>140.69999999999999</v>
      </c>
      <c r="H196">
        <v>116.4</v>
      </c>
      <c r="I196">
        <v>151.30000000000001</v>
      </c>
      <c r="J196">
        <v>131.4</v>
      </c>
      <c r="K196">
        <v>112.8</v>
      </c>
      <c r="L196">
        <v>105.3</v>
      </c>
      <c r="M196">
        <v>139.6</v>
      </c>
      <c r="N196">
        <v>126.6</v>
      </c>
      <c r="O196">
        <v>148.69999999999999</v>
      </c>
      <c r="P196">
        <v>136.4</v>
      </c>
      <c r="Q196">
        <v>160.30000000000001</v>
      </c>
      <c r="R196">
        <v>138.6</v>
      </c>
      <c r="S196">
        <v>127.9</v>
      </c>
      <c r="T196">
        <v>137</v>
      </c>
      <c r="U196" t="s">
        <v>108</v>
      </c>
      <c r="V196">
        <v>124.7</v>
      </c>
      <c r="W196">
        <v>132.5</v>
      </c>
      <c r="X196">
        <v>132</v>
      </c>
      <c r="Y196">
        <v>119.8</v>
      </c>
      <c r="Z196">
        <v>128</v>
      </c>
      <c r="AA196">
        <v>140.4</v>
      </c>
      <c r="AB196">
        <v>128.1</v>
      </c>
      <c r="AC196">
        <v>128.9</v>
      </c>
      <c r="AD196">
        <v>135.4</v>
      </c>
    </row>
    <row r="197" spans="1:30" x14ac:dyDescent="0.3">
      <c r="A197" t="s">
        <v>35</v>
      </c>
      <c r="B197">
        <v>2018</v>
      </c>
      <c r="C197" t="s">
        <v>41</v>
      </c>
      <c r="D197">
        <v>136.6</v>
      </c>
      <c r="E197">
        <v>146.6</v>
      </c>
      <c r="F197">
        <v>133.6</v>
      </c>
      <c r="G197">
        <v>142.1</v>
      </c>
      <c r="H197">
        <v>121</v>
      </c>
      <c r="I197">
        <v>154.6</v>
      </c>
      <c r="J197">
        <v>135.6</v>
      </c>
      <c r="K197">
        <v>122.3</v>
      </c>
      <c r="L197">
        <v>109.6</v>
      </c>
      <c r="M197">
        <v>138.1</v>
      </c>
      <c r="N197">
        <v>129.9</v>
      </c>
      <c r="O197">
        <v>151.69999999999999</v>
      </c>
      <c r="P197">
        <v>138.1</v>
      </c>
      <c r="Q197">
        <v>157.9</v>
      </c>
      <c r="R197">
        <v>146</v>
      </c>
      <c r="S197">
        <v>137.4</v>
      </c>
      <c r="T197">
        <v>144.69999999999999</v>
      </c>
      <c r="U197" t="s">
        <v>108</v>
      </c>
      <c r="V197">
        <v>136.9</v>
      </c>
      <c r="W197">
        <v>137.4</v>
      </c>
      <c r="X197">
        <v>136</v>
      </c>
      <c r="Y197">
        <v>122.9</v>
      </c>
      <c r="Z197">
        <v>131.80000000000001</v>
      </c>
      <c r="AA197">
        <v>142.1</v>
      </c>
      <c r="AB197">
        <v>129.9</v>
      </c>
      <c r="AC197">
        <v>132.1</v>
      </c>
      <c r="AD197">
        <v>137.80000000000001</v>
      </c>
    </row>
    <row r="198" spans="1:30" x14ac:dyDescent="0.3">
      <c r="A198" t="s">
        <v>30</v>
      </c>
      <c r="B198">
        <v>2018</v>
      </c>
      <c r="C198" t="s">
        <v>42</v>
      </c>
      <c r="D198">
        <v>137.6</v>
      </c>
      <c r="E198">
        <v>148.1</v>
      </c>
      <c r="F198">
        <v>136.69999999999999</v>
      </c>
      <c r="G198">
        <v>143.19999999999999</v>
      </c>
      <c r="H198">
        <v>124</v>
      </c>
      <c r="I198">
        <v>154.1</v>
      </c>
      <c r="J198">
        <v>143.5</v>
      </c>
      <c r="K198">
        <v>126</v>
      </c>
      <c r="L198">
        <v>112.4</v>
      </c>
      <c r="M198">
        <v>137.6</v>
      </c>
      <c r="N198">
        <v>132.80000000000001</v>
      </c>
      <c r="O198">
        <v>154.30000000000001</v>
      </c>
      <c r="P198">
        <v>140</v>
      </c>
      <c r="Q198">
        <v>157.30000000000001</v>
      </c>
      <c r="R198">
        <v>151.30000000000001</v>
      </c>
      <c r="S198">
        <v>144.69999999999999</v>
      </c>
      <c r="T198">
        <v>150.30000000000001</v>
      </c>
      <c r="U198" t="s">
        <v>32</v>
      </c>
      <c r="V198">
        <v>145.1</v>
      </c>
      <c r="W198">
        <v>142.19999999999999</v>
      </c>
      <c r="X198">
        <v>138.4</v>
      </c>
      <c r="Y198">
        <v>127.4</v>
      </c>
      <c r="Z198">
        <v>137.80000000000001</v>
      </c>
      <c r="AA198">
        <v>145.1</v>
      </c>
      <c r="AB198">
        <v>131.4</v>
      </c>
      <c r="AC198">
        <v>135.6</v>
      </c>
      <c r="AD198">
        <v>140.5</v>
      </c>
    </row>
    <row r="199" spans="1:30" x14ac:dyDescent="0.3">
      <c r="A199" t="s">
        <v>33</v>
      </c>
      <c r="B199">
        <v>2018</v>
      </c>
      <c r="C199" t="s">
        <v>42</v>
      </c>
      <c r="D199">
        <v>135.30000000000001</v>
      </c>
      <c r="E199">
        <v>149.69999999999999</v>
      </c>
      <c r="F199">
        <v>133.9</v>
      </c>
      <c r="G199">
        <v>140.80000000000001</v>
      </c>
      <c r="H199">
        <v>116.6</v>
      </c>
      <c r="I199">
        <v>152.19999999999999</v>
      </c>
      <c r="J199">
        <v>144</v>
      </c>
      <c r="K199">
        <v>112.3</v>
      </c>
      <c r="L199">
        <v>108.4</v>
      </c>
      <c r="M199">
        <v>140</v>
      </c>
      <c r="N199">
        <v>126.7</v>
      </c>
      <c r="O199">
        <v>149</v>
      </c>
      <c r="P199">
        <v>138.4</v>
      </c>
      <c r="Q199">
        <v>161</v>
      </c>
      <c r="R199">
        <v>138.9</v>
      </c>
      <c r="S199">
        <v>128.69999999999999</v>
      </c>
      <c r="T199">
        <v>137.4</v>
      </c>
      <c r="U199" t="s">
        <v>109</v>
      </c>
      <c r="V199">
        <v>126.5</v>
      </c>
      <c r="W199">
        <v>133.1</v>
      </c>
      <c r="X199">
        <v>132.6</v>
      </c>
      <c r="Y199">
        <v>120.4</v>
      </c>
      <c r="Z199">
        <v>128.5</v>
      </c>
      <c r="AA199">
        <v>141.19999999999999</v>
      </c>
      <c r="AB199">
        <v>128.19999999999999</v>
      </c>
      <c r="AC199">
        <v>129.5</v>
      </c>
      <c r="AD199">
        <v>136.19999999999999</v>
      </c>
    </row>
    <row r="200" spans="1:30" x14ac:dyDescent="0.3">
      <c r="A200" t="s">
        <v>35</v>
      </c>
      <c r="B200">
        <v>2018</v>
      </c>
      <c r="C200" t="s">
        <v>42</v>
      </c>
      <c r="D200">
        <v>136.9</v>
      </c>
      <c r="E200">
        <v>148.69999999999999</v>
      </c>
      <c r="F200">
        <v>135.6</v>
      </c>
      <c r="G200">
        <v>142.30000000000001</v>
      </c>
      <c r="H200">
        <v>121.3</v>
      </c>
      <c r="I200">
        <v>153.19999999999999</v>
      </c>
      <c r="J200">
        <v>143.69999999999999</v>
      </c>
      <c r="K200">
        <v>121.4</v>
      </c>
      <c r="L200">
        <v>111.1</v>
      </c>
      <c r="M200">
        <v>138.4</v>
      </c>
      <c r="N200">
        <v>130.30000000000001</v>
      </c>
      <c r="O200">
        <v>151.80000000000001</v>
      </c>
      <c r="P200">
        <v>139.4</v>
      </c>
      <c r="Q200">
        <v>158.30000000000001</v>
      </c>
      <c r="R200">
        <v>146.4</v>
      </c>
      <c r="S200">
        <v>138.1</v>
      </c>
      <c r="T200">
        <v>145.19999999999999</v>
      </c>
      <c r="U200" t="s">
        <v>109</v>
      </c>
      <c r="V200">
        <v>138.1</v>
      </c>
      <c r="W200">
        <v>137.9</v>
      </c>
      <c r="X200">
        <v>136.19999999999999</v>
      </c>
      <c r="Y200">
        <v>123.7</v>
      </c>
      <c r="Z200">
        <v>132.6</v>
      </c>
      <c r="AA200">
        <v>142.80000000000001</v>
      </c>
      <c r="AB200">
        <v>130.1</v>
      </c>
      <c r="AC200">
        <v>132.6</v>
      </c>
      <c r="AD200">
        <v>138.5</v>
      </c>
    </row>
    <row r="201" spans="1:30" x14ac:dyDescent="0.3">
      <c r="A201" t="s">
        <v>30</v>
      </c>
      <c r="B201">
        <v>2018</v>
      </c>
      <c r="C201" t="s">
        <v>44</v>
      </c>
      <c r="D201">
        <v>138.4</v>
      </c>
      <c r="E201">
        <v>149.30000000000001</v>
      </c>
      <c r="F201">
        <v>139.30000000000001</v>
      </c>
      <c r="G201">
        <v>143.4</v>
      </c>
      <c r="H201">
        <v>124.1</v>
      </c>
      <c r="I201">
        <v>153.30000000000001</v>
      </c>
      <c r="J201">
        <v>154.19999999999999</v>
      </c>
      <c r="K201">
        <v>126.4</v>
      </c>
      <c r="L201">
        <v>114.3</v>
      </c>
      <c r="M201">
        <v>138.19999999999999</v>
      </c>
      <c r="N201">
        <v>132.80000000000001</v>
      </c>
      <c r="O201">
        <v>154.80000000000001</v>
      </c>
      <c r="P201">
        <v>142</v>
      </c>
      <c r="Q201">
        <v>156.1</v>
      </c>
      <c r="R201">
        <v>151.5</v>
      </c>
      <c r="S201">
        <v>145.1</v>
      </c>
      <c r="T201">
        <v>150.6</v>
      </c>
      <c r="U201" t="s">
        <v>32</v>
      </c>
      <c r="V201">
        <v>146.80000000000001</v>
      </c>
      <c r="W201">
        <v>143.1</v>
      </c>
      <c r="X201">
        <v>139</v>
      </c>
      <c r="Y201">
        <v>127.5</v>
      </c>
      <c r="Z201">
        <v>138.4</v>
      </c>
      <c r="AA201">
        <v>145.80000000000001</v>
      </c>
      <c r="AB201">
        <v>131.4</v>
      </c>
      <c r="AC201">
        <v>136</v>
      </c>
      <c r="AD201">
        <v>141.80000000000001</v>
      </c>
    </row>
    <row r="202" spans="1:30" x14ac:dyDescent="0.3">
      <c r="A202" t="s">
        <v>33</v>
      </c>
      <c r="B202">
        <v>2018</v>
      </c>
      <c r="C202" t="s">
        <v>44</v>
      </c>
      <c r="D202">
        <v>135.6</v>
      </c>
      <c r="E202">
        <v>148.6</v>
      </c>
      <c r="F202">
        <v>139.1</v>
      </c>
      <c r="G202">
        <v>141</v>
      </c>
      <c r="H202">
        <v>116.7</v>
      </c>
      <c r="I202">
        <v>149.69999999999999</v>
      </c>
      <c r="J202">
        <v>159.19999999999999</v>
      </c>
      <c r="K202">
        <v>112.6</v>
      </c>
      <c r="L202">
        <v>111.8</v>
      </c>
      <c r="M202">
        <v>140.30000000000001</v>
      </c>
      <c r="N202">
        <v>126.8</v>
      </c>
      <c r="O202">
        <v>149.4</v>
      </c>
      <c r="P202">
        <v>140.30000000000001</v>
      </c>
      <c r="Q202">
        <v>161.4</v>
      </c>
      <c r="R202">
        <v>139.6</v>
      </c>
      <c r="S202">
        <v>128.9</v>
      </c>
      <c r="T202">
        <v>137.9</v>
      </c>
      <c r="U202" t="s">
        <v>110</v>
      </c>
      <c r="V202">
        <v>128.1</v>
      </c>
      <c r="W202">
        <v>133.6</v>
      </c>
      <c r="X202">
        <v>133.6</v>
      </c>
      <c r="Y202">
        <v>120.1</v>
      </c>
      <c r="Z202">
        <v>129</v>
      </c>
      <c r="AA202">
        <v>144</v>
      </c>
      <c r="AB202">
        <v>128.19999999999999</v>
      </c>
      <c r="AC202">
        <v>130.19999999999999</v>
      </c>
      <c r="AD202">
        <v>137.5</v>
      </c>
    </row>
    <row r="203" spans="1:30" x14ac:dyDescent="0.3">
      <c r="A203" t="s">
        <v>35</v>
      </c>
      <c r="B203">
        <v>2018</v>
      </c>
      <c r="C203" t="s">
        <v>44</v>
      </c>
      <c r="D203">
        <v>137.5</v>
      </c>
      <c r="E203">
        <v>149.1</v>
      </c>
      <c r="F203">
        <v>139.19999999999999</v>
      </c>
      <c r="G203">
        <v>142.5</v>
      </c>
      <c r="H203">
        <v>121.4</v>
      </c>
      <c r="I203">
        <v>151.6</v>
      </c>
      <c r="J203">
        <v>155.9</v>
      </c>
      <c r="K203">
        <v>121.7</v>
      </c>
      <c r="L203">
        <v>113.5</v>
      </c>
      <c r="M203">
        <v>138.9</v>
      </c>
      <c r="N203">
        <v>130.30000000000001</v>
      </c>
      <c r="O203">
        <v>152.30000000000001</v>
      </c>
      <c r="P203">
        <v>141.4</v>
      </c>
      <c r="Q203">
        <v>157.5</v>
      </c>
      <c r="R203">
        <v>146.80000000000001</v>
      </c>
      <c r="S203">
        <v>138.4</v>
      </c>
      <c r="T203">
        <v>145.6</v>
      </c>
      <c r="U203" t="s">
        <v>110</v>
      </c>
      <c r="V203">
        <v>139.69999999999999</v>
      </c>
      <c r="W203">
        <v>138.6</v>
      </c>
      <c r="X203">
        <v>137</v>
      </c>
      <c r="Y203">
        <v>123.6</v>
      </c>
      <c r="Z203">
        <v>133.1</v>
      </c>
      <c r="AA203">
        <v>144.69999999999999</v>
      </c>
      <c r="AB203">
        <v>130.1</v>
      </c>
      <c r="AC203">
        <v>133.19999999999999</v>
      </c>
      <c r="AD203">
        <v>139.80000000000001</v>
      </c>
    </row>
    <row r="204" spans="1:30" x14ac:dyDescent="0.3">
      <c r="A204" t="s">
        <v>30</v>
      </c>
      <c r="B204">
        <v>2018</v>
      </c>
      <c r="C204" t="s">
        <v>46</v>
      </c>
      <c r="D204">
        <v>139.19999999999999</v>
      </c>
      <c r="E204">
        <v>148.80000000000001</v>
      </c>
      <c r="F204">
        <v>139.1</v>
      </c>
      <c r="G204">
        <v>143.5</v>
      </c>
      <c r="H204">
        <v>125</v>
      </c>
      <c r="I204">
        <v>154.4</v>
      </c>
      <c r="J204">
        <v>156.30000000000001</v>
      </c>
      <c r="K204">
        <v>126.8</v>
      </c>
      <c r="L204">
        <v>115.4</v>
      </c>
      <c r="M204">
        <v>138.6</v>
      </c>
      <c r="N204">
        <v>133.80000000000001</v>
      </c>
      <c r="O204">
        <v>155.19999999999999</v>
      </c>
      <c r="P204">
        <v>142.69999999999999</v>
      </c>
      <c r="Q204">
        <v>156.4</v>
      </c>
      <c r="R204">
        <v>152.1</v>
      </c>
      <c r="S204">
        <v>145.80000000000001</v>
      </c>
      <c r="T204">
        <v>151.30000000000001</v>
      </c>
      <c r="U204" t="s">
        <v>32</v>
      </c>
      <c r="V204">
        <v>147.69999999999999</v>
      </c>
      <c r="W204">
        <v>143.80000000000001</v>
      </c>
      <c r="X204">
        <v>139.4</v>
      </c>
      <c r="Y204">
        <v>128.30000000000001</v>
      </c>
      <c r="Z204">
        <v>138.6</v>
      </c>
      <c r="AA204">
        <v>146.9</v>
      </c>
      <c r="AB204">
        <v>131.30000000000001</v>
      </c>
      <c r="AC204">
        <v>136.6</v>
      </c>
      <c r="AD204">
        <v>142.5</v>
      </c>
    </row>
    <row r="205" spans="1:30" x14ac:dyDescent="0.3">
      <c r="A205" t="s">
        <v>33</v>
      </c>
      <c r="B205">
        <v>2018</v>
      </c>
      <c r="C205" t="s">
        <v>46</v>
      </c>
      <c r="D205">
        <v>136.5</v>
      </c>
      <c r="E205">
        <v>146.4</v>
      </c>
      <c r="F205">
        <v>136.6</v>
      </c>
      <c r="G205">
        <v>141.19999999999999</v>
      </c>
      <c r="H205">
        <v>117.4</v>
      </c>
      <c r="I205">
        <v>146.30000000000001</v>
      </c>
      <c r="J205">
        <v>157.30000000000001</v>
      </c>
      <c r="K205">
        <v>113.6</v>
      </c>
      <c r="L205">
        <v>113.3</v>
      </c>
      <c r="M205">
        <v>141.1</v>
      </c>
      <c r="N205">
        <v>127.4</v>
      </c>
      <c r="O205">
        <v>150.4</v>
      </c>
      <c r="P205">
        <v>140.1</v>
      </c>
      <c r="Q205">
        <v>162.1</v>
      </c>
      <c r="R205">
        <v>140</v>
      </c>
      <c r="S205">
        <v>129</v>
      </c>
      <c r="T205">
        <v>138.30000000000001</v>
      </c>
      <c r="U205" t="s">
        <v>111</v>
      </c>
      <c r="V205">
        <v>129.80000000000001</v>
      </c>
      <c r="W205">
        <v>134.4</v>
      </c>
      <c r="X205">
        <v>134.9</v>
      </c>
      <c r="Y205">
        <v>120.7</v>
      </c>
      <c r="Z205">
        <v>129.80000000000001</v>
      </c>
      <c r="AA205">
        <v>145.30000000000001</v>
      </c>
      <c r="AB205">
        <v>128.30000000000001</v>
      </c>
      <c r="AC205">
        <v>131</v>
      </c>
      <c r="AD205">
        <v>138</v>
      </c>
    </row>
    <row r="206" spans="1:30" x14ac:dyDescent="0.3">
      <c r="A206" t="s">
        <v>35</v>
      </c>
      <c r="B206">
        <v>2018</v>
      </c>
      <c r="C206" t="s">
        <v>46</v>
      </c>
      <c r="D206">
        <v>138.30000000000001</v>
      </c>
      <c r="E206">
        <v>148</v>
      </c>
      <c r="F206">
        <v>138.1</v>
      </c>
      <c r="G206">
        <v>142.6</v>
      </c>
      <c r="H206">
        <v>122.2</v>
      </c>
      <c r="I206">
        <v>150.6</v>
      </c>
      <c r="J206">
        <v>156.6</v>
      </c>
      <c r="K206">
        <v>122.4</v>
      </c>
      <c r="L206">
        <v>114.7</v>
      </c>
      <c r="M206">
        <v>139.4</v>
      </c>
      <c r="N206">
        <v>131.1</v>
      </c>
      <c r="O206">
        <v>153</v>
      </c>
      <c r="P206">
        <v>141.69999999999999</v>
      </c>
      <c r="Q206">
        <v>157.9</v>
      </c>
      <c r="R206">
        <v>147.30000000000001</v>
      </c>
      <c r="S206">
        <v>138.80000000000001</v>
      </c>
      <c r="T206">
        <v>146.1</v>
      </c>
      <c r="U206" t="s">
        <v>111</v>
      </c>
      <c r="V206">
        <v>140.9</v>
      </c>
      <c r="W206">
        <v>139.4</v>
      </c>
      <c r="X206">
        <v>137.69999999999999</v>
      </c>
      <c r="Y206">
        <v>124.3</v>
      </c>
      <c r="Z206">
        <v>133.6</v>
      </c>
      <c r="AA206">
        <v>146</v>
      </c>
      <c r="AB206">
        <v>130.1</v>
      </c>
      <c r="AC206">
        <v>133.9</v>
      </c>
      <c r="AD206">
        <v>140.4</v>
      </c>
    </row>
    <row r="207" spans="1:30" x14ac:dyDescent="0.3">
      <c r="A207" t="s">
        <v>30</v>
      </c>
      <c r="B207">
        <v>2018</v>
      </c>
      <c r="C207" t="s">
        <v>48</v>
      </c>
      <c r="D207">
        <v>139.4</v>
      </c>
      <c r="E207">
        <v>147.19999999999999</v>
      </c>
      <c r="F207">
        <v>136.6</v>
      </c>
      <c r="G207">
        <v>143.69999999999999</v>
      </c>
      <c r="H207">
        <v>124.6</v>
      </c>
      <c r="I207">
        <v>150.1</v>
      </c>
      <c r="J207">
        <v>149.4</v>
      </c>
      <c r="K207">
        <v>125.4</v>
      </c>
      <c r="L207">
        <v>114.4</v>
      </c>
      <c r="M207">
        <v>138.69999999999999</v>
      </c>
      <c r="N207">
        <v>133.1</v>
      </c>
      <c r="O207">
        <v>155.9</v>
      </c>
      <c r="P207">
        <v>141.30000000000001</v>
      </c>
      <c r="Q207">
        <v>157.69999999999999</v>
      </c>
      <c r="R207">
        <v>152.1</v>
      </c>
      <c r="S207">
        <v>146.1</v>
      </c>
      <c r="T207">
        <v>151.30000000000001</v>
      </c>
      <c r="U207" t="s">
        <v>32</v>
      </c>
      <c r="V207">
        <v>149</v>
      </c>
      <c r="W207">
        <v>144</v>
      </c>
      <c r="X207">
        <v>140</v>
      </c>
      <c r="Y207">
        <v>129.9</v>
      </c>
      <c r="Z207">
        <v>140</v>
      </c>
      <c r="AA207">
        <v>147.6</v>
      </c>
      <c r="AB207">
        <v>132</v>
      </c>
      <c r="AC207">
        <v>137.4</v>
      </c>
      <c r="AD207">
        <v>142.1</v>
      </c>
    </row>
    <row r="208" spans="1:30" x14ac:dyDescent="0.3">
      <c r="A208" t="s">
        <v>33</v>
      </c>
      <c r="B208">
        <v>2018</v>
      </c>
      <c r="C208" t="s">
        <v>48</v>
      </c>
      <c r="D208">
        <v>137</v>
      </c>
      <c r="E208">
        <v>143.1</v>
      </c>
      <c r="F208">
        <v>132.80000000000001</v>
      </c>
      <c r="G208">
        <v>141.5</v>
      </c>
      <c r="H208">
        <v>117.8</v>
      </c>
      <c r="I208">
        <v>140</v>
      </c>
      <c r="J208">
        <v>151.30000000000001</v>
      </c>
      <c r="K208">
        <v>113.5</v>
      </c>
      <c r="L208">
        <v>112.3</v>
      </c>
      <c r="M208">
        <v>141.19999999999999</v>
      </c>
      <c r="N208">
        <v>127.7</v>
      </c>
      <c r="O208">
        <v>151.30000000000001</v>
      </c>
      <c r="P208">
        <v>138.9</v>
      </c>
      <c r="Q208">
        <v>163.30000000000001</v>
      </c>
      <c r="R208">
        <v>140.80000000000001</v>
      </c>
      <c r="S208">
        <v>129.30000000000001</v>
      </c>
      <c r="T208">
        <v>139.1</v>
      </c>
      <c r="U208" t="s">
        <v>112</v>
      </c>
      <c r="V208">
        <v>131.19999999999999</v>
      </c>
      <c r="W208">
        <v>134.9</v>
      </c>
      <c r="X208">
        <v>135.69999999999999</v>
      </c>
      <c r="Y208">
        <v>122.5</v>
      </c>
      <c r="Z208">
        <v>130.19999999999999</v>
      </c>
      <c r="AA208">
        <v>145.19999999999999</v>
      </c>
      <c r="AB208">
        <v>129.30000000000001</v>
      </c>
      <c r="AC208">
        <v>131.9</v>
      </c>
      <c r="AD208">
        <v>138.1</v>
      </c>
    </row>
    <row r="209" spans="1:30" x14ac:dyDescent="0.3">
      <c r="A209" t="s">
        <v>35</v>
      </c>
      <c r="B209">
        <v>2018</v>
      </c>
      <c r="C209" t="s">
        <v>48</v>
      </c>
      <c r="D209">
        <v>138.6</v>
      </c>
      <c r="E209">
        <v>145.80000000000001</v>
      </c>
      <c r="F209">
        <v>135.1</v>
      </c>
      <c r="G209">
        <v>142.9</v>
      </c>
      <c r="H209">
        <v>122.1</v>
      </c>
      <c r="I209">
        <v>145.4</v>
      </c>
      <c r="J209">
        <v>150</v>
      </c>
      <c r="K209">
        <v>121.4</v>
      </c>
      <c r="L209">
        <v>113.7</v>
      </c>
      <c r="M209">
        <v>139.5</v>
      </c>
      <c r="N209">
        <v>130.80000000000001</v>
      </c>
      <c r="O209">
        <v>153.80000000000001</v>
      </c>
      <c r="P209">
        <v>140.4</v>
      </c>
      <c r="Q209">
        <v>159.19999999999999</v>
      </c>
      <c r="R209">
        <v>147.69999999999999</v>
      </c>
      <c r="S209">
        <v>139.1</v>
      </c>
      <c r="T209">
        <v>146.5</v>
      </c>
      <c r="U209" t="s">
        <v>112</v>
      </c>
      <c r="V209">
        <v>142.30000000000001</v>
      </c>
      <c r="W209">
        <v>139.69999999999999</v>
      </c>
      <c r="X209">
        <v>138.4</v>
      </c>
      <c r="Y209">
        <v>126</v>
      </c>
      <c r="Z209">
        <v>134.5</v>
      </c>
      <c r="AA209">
        <v>146.19999999999999</v>
      </c>
      <c r="AB209">
        <v>130.9</v>
      </c>
      <c r="AC209">
        <v>134.69999999999999</v>
      </c>
      <c r="AD209">
        <v>140.19999999999999</v>
      </c>
    </row>
    <row r="210" spans="1:30" x14ac:dyDescent="0.3">
      <c r="A210" t="s">
        <v>30</v>
      </c>
      <c r="B210">
        <v>2018</v>
      </c>
      <c r="C210" t="s">
        <v>50</v>
      </c>
      <c r="D210">
        <v>139.30000000000001</v>
      </c>
      <c r="E210">
        <v>147.6</v>
      </c>
      <c r="F210">
        <v>134.6</v>
      </c>
      <c r="G210">
        <v>141.9</v>
      </c>
      <c r="H210">
        <v>123.5</v>
      </c>
      <c r="I210">
        <v>144.5</v>
      </c>
      <c r="J210">
        <v>147.6</v>
      </c>
      <c r="K210">
        <v>121.4</v>
      </c>
      <c r="L210">
        <v>112.3</v>
      </c>
      <c r="M210">
        <v>139.5</v>
      </c>
      <c r="N210">
        <v>134.6</v>
      </c>
      <c r="O210">
        <v>155.19999999999999</v>
      </c>
      <c r="P210">
        <v>140.19999999999999</v>
      </c>
      <c r="Q210">
        <v>159.6</v>
      </c>
      <c r="R210">
        <v>150.69999999999999</v>
      </c>
      <c r="S210">
        <v>144.5</v>
      </c>
      <c r="T210">
        <v>149.80000000000001</v>
      </c>
      <c r="U210" t="s">
        <v>32</v>
      </c>
      <c r="V210">
        <v>149.69999999999999</v>
      </c>
      <c r="W210">
        <v>147.5</v>
      </c>
      <c r="X210">
        <v>144.80000000000001</v>
      </c>
      <c r="Y210">
        <v>130.80000000000001</v>
      </c>
      <c r="Z210">
        <v>140.1</v>
      </c>
      <c r="AA210">
        <v>148</v>
      </c>
      <c r="AB210">
        <v>134.4</v>
      </c>
      <c r="AC210">
        <v>139.80000000000001</v>
      </c>
      <c r="AD210">
        <v>142.19999999999999</v>
      </c>
    </row>
    <row r="211" spans="1:30" x14ac:dyDescent="0.3">
      <c r="A211" t="s">
        <v>33</v>
      </c>
      <c r="B211">
        <v>2018</v>
      </c>
      <c r="C211" t="s">
        <v>50</v>
      </c>
      <c r="D211">
        <v>137.6</v>
      </c>
      <c r="E211">
        <v>144.9</v>
      </c>
      <c r="F211">
        <v>133.5</v>
      </c>
      <c r="G211">
        <v>141.5</v>
      </c>
      <c r="H211">
        <v>118</v>
      </c>
      <c r="I211">
        <v>139.5</v>
      </c>
      <c r="J211">
        <v>153</v>
      </c>
      <c r="K211">
        <v>113.2</v>
      </c>
      <c r="L211">
        <v>112.8</v>
      </c>
      <c r="M211">
        <v>141.1</v>
      </c>
      <c r="N211">
        <v>127.6</v>
      </c>
      <c r="O211">
        <v>152</v>
      </c>
      <c r="P211">
        <v>139.4</v>
      </c>
      <c r="Q211">
        <v>164</v>
      </c>
      <c r="R211">
        <v>141.5</v>
      </c>
      <c r="S211">
        <v>129.80000000000001</v>
      </c>
      <c r="T211">
        <v>139.69999999999999</v>
      </c>
      <c r="U211" t="s">
        <v>113</v>
      </c>
      <c r="V211">
        <v>133.4</v>
      </c>
      <c r="W211">
        <v>135.1</v>
      </c>
      <c r="X211">
        <v>136.19999999999999</v>
      </c>
      <c r="Y211">
        <v>123.3</v>
      </c>
      <c r="Z211">
        <v>130.69999999999999</v>
      </c>
      <c r="AA211">
        <v>145.5</v>
      </c>
      <c r="AB211">
        <v>130.4</v>
      </c>
      <c r="AC211">
        <v>132.5</v>
      </c>
      <c r="AD211">
        <v>138.9</v>
      </c>
    </row>
    <row r="212" spans="1:30" x14ac:dyDescent="0.3">
      <c r="A212" t="s">
        <v>35</v>
      </c>
      <c r="B212">
        <v>2018</v>
      </c>
      <c r="C212" t="s">
        <v>50</v>
      </c>
      <c r="D212">
        <v>137.4</v>
      </c>
      <c r="E212">
        <v>149.5</v>
      </c>
      <c r="F212">
        <v>137.30000000000001</v>
      </c>
      <c r="G212">
        <v>141.9</v>
      </c>
      <c r="H212">
        <v>121.1</v>
      </c>
      <c r="I212">
        <v>142.5</v>
      </c>
      <c r="J212">
        <v>146.69999999999999</v>
      </c>
      <c r="K212">
        <v>119.1</v>
      </c>
      <c r="L212">
        <v>111.9</v>
      </c>
      <c r="M212">
        <v>141</v>
      </c>
      <c r="N212">
        <v>133.6</v>
      </c>
      <c r="O212">
        <v>154.5</v>
      </c>
      <c r="P212">
        <v>139.69999999999999</v>
      </c>
      <c r="Q212">
        <v>162.6</v>
      </c>
      <c r="R212">
        <v>148</v>
      </c>
      <c r="S212">
        <v>139.19999999999999</v>
      </c>
      <c r="T212">
        <v>146.80000000000001</v>
      </c>
      <c r="U212" t="s">
        <v>114</v>
      </c>
      <c r="V212">
        <v>145.30000000000001</v>
      </c>
      <c r="W212">
        <v>142.19999999999999</v>
      </c>
      <c r="X212">
        <v>142.1</v>
      </c>
      <c r="Y212">
        <v>125.5</v>
      </c>
      <c r="Z212">
        <v>136.5</v>
      </c>
      <c r="AA212">
        <v>147.80000000000001</v>
      </c>
      <c r="AB212">
        <v>132</v>
      </c>
      <c r="AC212">
        <v>136.30000000000001</v>
      </c>
      <c r="AD212">
        <v>140.80000000000001</v>
      </c>
    </row>
    <row r="213" spans="1:30" x14ac:dyDescent="0.3">
      <c r="A213" t="s">
        <v>30</v>
      </c>
      <c r="B213">
        <v>2018</v>
      </c>
      <c r="C213" t="s">
        <v>53</v>
      </c>
      <c r="D213">
        <v>137.1</v>
      </c>
      <c r="E213">
        <v>150.80000000000001</v>
      </c>
      <c r="F213">
        <v>136.69999999999999</v>
      </c>
      <c r="G213">
        <v>141.9</v>
      </c>
      <c r="H213">
        <v>122.8</v>
      </c>
      <c r="I213">
        <v>143.9</v>
      </c>
      <c r="J213">
        <v>147.5</v>
      </c>
      <c r="K213">
        <v>121</v>
      </c>
      <c r="L213">
        <v>111.6</v>
      </c>
      <c r="M213">
        <v>140.6</v>
      </c>
      <c r="N213">
        <v>137.5</v>
      </c>
      <c r="O213">
        <v>156.1</v>
      </c>
      <c r="P213">
        <v>140</v>
      </c>
      <c r="Q213">
        <v>161.9</v>
      </c>
      <c r="R213">
        <v>151.69999999999999</v>
      </c>
      <c r="S213">
        <v>145.5</v>
      </c>
      <c r="T213">
        <v>150.80000000000001</v>
      </c>
      <c r="U213" t="s">
        <v>32</v>
      </c>
      <c r="V213">
        <v>150.30000000000001</v>
      </c>
      <c r="W213">
        <v>148</v>
      </c>
      <c r="X213">
        <v>145.4</v>
      </c>
      <c r="Y213">
        <v>130.30000000000001</v>
      </c>
      <c r="Z213">
        <v>143.1</v>
      </c>
      <c r="AA213">
        <v>150.19999999999999</v>
      </c>
      <c r="AB213">
        <v>133.1</v>
      </c>
      <c r="AC213">
        <v>140.1</v>
      </c>
      <c r="AD213">
        <v>142.4</v>
      </c>
    </row>
    <row r="214" spans="1:30" x14ac:dyDescent="0.3">
      <c r="A214" t="s">
        <v>33</v>
      </c>
      <c r="B214">
        <v>2018</v>
      </c>
      <c r="C214" t="s">
        <v>53</v>
      </c>
      <c r="D214">
        <v>138.1</v>
      </c>
      <c r="E214">
        <v>146.30000000000001</v>
      </c>
      <c r="F214">
        <v>137.80000000000001</v>
      </c>
      <c r="G214">
        <v>141.6</v>
      </c>
      <c r="H214">
        <v>118.1</v>
      </c>
      <c r="I214">
        <v>141.5</v>
      </c>
      <c r="J214">
        <v>145.19999999999999</v>
      </c>
      <c r="K214">
        <v>115.3</v>
      </c>
      <c r="L214">
        <v>112.5</v>
      </c>
      <c r="M214">
        <v>141.4</v>
      </c>
      <c r="N214">
        <v>128</v>
      </c>
      <c r="O214">
        <v>152.6</v>
      </c>
      <c r="P214">
        <v>139.1</v>
      </c>
      <c r="Q214">
        <v>164.4</v>
      </c>
      <c r="R214">
        <v>142.4</v>
      </c>
      <c r="S214">
        <v>130.19999999999999</v>
      </c>
      <c r="T214">
        <v>140.5</v>
      </c>
      <c r="U214" t="s">
        <v>114</v>
      </c>
      <c r="V214">
        <v>136.69999999999999</v>
      </c>
      <c r="W214">
        <v>135.80000000000001</v>
      </c>
      <c r="X214">
        <v>136.80000000000001</v>
      </c>
      <c r="Y214">
        <v>121.2</v>
      </c>
      <c r="Z214">
        <v>131.30000000000001</v>
      </c>
      <c r="AA214">
        <v>146.1</v>
      </c>
      <c r="AB214">
        <v>130.5</v>
      </c>
      <c r="AC214">
        <v>132.19999999999999</v>
      </c>
      <c r="AD214">
        <v>139</v>
      </c>
    </row>
    <row r="215" spans="1:30" x14ac:dyDescent="0.3">
      <c r="A215" t="s">
        <v>35</v>
      </c>
      <c r="B215">
        <v>2018</v>
      </c>
      <c r="C215" t="s">
        <v>53</v>
      </c>
      <c r="D215">
        <v>137.4</v>
      </c>
      <c r="E215">
        <v>149.19999999999999</v>
      </c>
      <c r="F215">
        <v>137.1</v>
      </c>
      <c r="G215">
        <v>141.80000000000001</v>
      </c>
      <c r="H215">
        <v>121.1</v>
      </c>
      <c r="I215">
        <v>142.80000000000001</v>
      </c>
      <c r="J215">
        <v>146.69999999999999</v>
      </c>
      <c r="K215">
        <v>119.1</v>
      </c>
      <c r="L215">
        <v>111.9</v>
      </c>
      <c r="M215">
        <v>140.9</v>
      </c>
      <c r="N215">
        <v>133.5</v>
      </c>
      <c r="O215">
        <v>154.5</v>
      </c>
      <c r="P215">
        <v>139.69999999999999</v>
      </c>
      <c r="Q215">
        <v>162.6</v>
      </c>
      <c r="R215">
        <v>148</v>
      </c>
      <c r="S215">
        <v>139.1</v>
      </c>
      <c r="T215">
        <v>146.69999999999999</v>
      </c>
      <c r="U215" t="s">
        <v>114</v>
      </c>
      <c r="V215">
        <v>145.1</v>
      </c>
      <c r="W215">
        <v>142.19999999999999</v>
      </c>
      <c r="X215">
        <v>142.1</v>
      </c>
      <c r="Y215">
        <v>125.5</v>
      </c>
      <c r="Z215">
        <v>136.5</v>
      </c>
      <c r="AA215">
        <v>147.80000000000001</v>
      </c>
      <c r="AB215">
        <v>132</v>
      </c>
      <c r="AC215">
        <v>136.30000000000001</v>
      </c>
      <c r="AD215">
        <v>140.80000000000001</v>
      </c>
    </row>
    <row r="216" spans="1:30" x14ac:dyDescent="0.3">
      <c r="A216" t="s">
        <v>30</v>
      </c>
      <c r="B216">
        <v>2018</v>
      </c>
      <c r="C216" t="s">
        <v>55</v>
      </c>
      <c r="D216">
        <v>137.1</v>
      </c>
      <c r="E216">
        <v>151.9</v>
      </c>
      <c r="F216">
        <v>137.4</v>
      </c>
      <c r="G216">
        <v>142.4</v>
      </c>
      <c r="H216">
        <v>124.2</v>
      </c>
      <c r="I216">
        <v>140.19999999999999</v>
      </c>
      <c r="J216">
        <v>136.6</v>
      </c>
      <c r="K216">
        <v>120.9</v>
      </c>
      <c r="L216">
        <v>109.9</v>
      </c>
      <c r="M216">
        <v>140.19999999999999</v>
      </c>
      <c r="N216">
        <v>137.80000000000001</v>
      </c>
      <c r="O216">
        <v>156</v>
      </c>
      <c r="P216">
        <v>138.5</v>
      </c>
      <c r="Q216">
        <v>162.4</v>
      </c>
      <c r="R216">
        <v>151.6</v>
      </c>
      <c r="S216">
        <v>145.9</v>
      </c>
      <c r="T216">
        <v>150.80000000000001</v>
      </c>
      <c r="U216" t="s">
        <v>32</v>
      </c>
      <c r="V216">
        <v>149</v>
      </c>
      <c r="W216">
        <v>149.5</v>
      </c>
      <c r="X216">
        <v>149.6</v>
      </c>
      <c r="Y216">
        <v>128.9</v>
      </c>
      <c r="Z216">
        <v>143.30000000000001</v>
      </c>
      <c r="AA216">
        <v>155.1</v>
      </c>
      <c r="AB216">
        <v>133.19999999999999</v>
      </c>
      <c r="AC216">
        <v>141.6</v>
      </c>
      <c r="AD216">
        <v>141.9</v>
      </c>
    </row>
    <row r="217" spans="1:30" x14ac:dyDescent="0.3">
      <c r="A217" t="s">
        <v>33</v>
      </c>
      <c r="B217">
        <v>2018</v>
      </c>
      <c r="C217" t="s">
        <v>55</v>
      </c>
      <c r="D217">
        <v>138.5</v>
      </c>
      <c r="E217">
        <v>147.80000000000001</v>
      </c>
      <c r="F217">
        <v>141.1</v>
      </c>
      <c r="G217">
        <v>141.6</v>
      </c>
      <c r="H217">
        <v>118.1</v>
      </c>
      <c r="I217">
        <v>138.5</v>
      </c>
      <c r="J217">
        <v>132.4</v>
      </c>
      <c r="K217">
        <v>117.5</v>
      </c>
      <c r="L217">
        <v>111</v>
      </c>
      <c r="M217">
        <v>141.5</v>
      </c>
      <c r="N217">
        <v>128.1</v>
      </c>
      <c r="O217">
        <v>152.9</v>
      </c>
      <c r="P217">
        <v>137.6</v>
      </c>
      <c r="Q217">
        <v>164.6</v>
      </c>
      <c r="R217">
        <v>142.69999999999999</v>
      </c>
      <c r="S217">
        <v>130.30000000000001</v>
      </c>
      <c r="T217">
        <v>140.80000000000001</v>
      </c>
      <c r="U217" t="s">
        <v>115</v>
      </c>
      <c r="V217">
        <v>132.4</v>
      </c>
      <c r="W217">
        <v>136.19999999999999</v>
      </c>
      <c r="X217">
        <v>137.30000000000001</v>
      </c>
      <c r="Y217">
        <v>118.8</v>
      </c>
      <c r="Z217">
        <v>131.69999999999999</v>
      </c>
      <c r="AA217">
        <v>146.5</v>
      </c>
      <c r="AB217">
        <v>130.80000000000001</v>
      </c>
      <c r="AC217">
        <v>131.69999999999999</v>
      </c>
      <c r="AD217">
        <v>138</v>
      </c>
    </row>
    <row r="218" spans="1:30" x14ac:dyDescent="0.3">
      <c r="A218" t="s">
        <v>35</v>
      </c>
      <c r="B218">
        <v>2018</v>
      </c>
      <c r="C218" t="s">
        <v>55</v>
      </c>
      <c r="D218">
        <v>137.5</v>
      </c>
      <c r="E218">
        <v>150.5</v>
      </c>
      <c r="F218">
        <v>138.80000000000001</v>
      </c>
      <c r="G218">
        <v>142.1</v>
      </c>
      <c r="H218">
        <v>122</v>
      </c>
      <c r="I218">
        <v>139.4</v>
      </c>
      <c r="J218">
        <v>135.19999999999999</v>
      </c>
      <c r="K218">
        <v>119.8</v>
      </c>
      <c r="L218">
        <v>110.3</v>
      </c>
      <c r="M218">
        <v>140.6</v>
      </c>
      <c r="N218">
        <v>133.80000000000001</v>
      </c>
      <c r="O218">
        <v>154.6</v>
      </c>
      <c r="P218">
        <v>138.19999999999999</v>
      </c>
      <c r="Q218">
        <v>163</v>
      </c>
      <c r="R218">
        <v>148.1</v>
      </c>
      <c r="S218">
        <v>139.4</v>
      </c>
      <c r="T218">
        <v>146.80000000000001</v>
      </c>
      <c r="U218" t="s">
        <v>115</v>
      </c>
      <c r="V218">
        <v>142.69999999999999</v>
      </c>
      <c r="W218">
        <v>143.19999999999999</v>
      </c>
      <c r="X218">
        <v>144.9</v>
      </c>
      <c r="Y218">
        <v>123.6</v>
      </c>
      <c r="Z218">
        <v>136.80000000000001</v>
      </c>
      <c r="AA218">
        <v>150.1</v>
      </c>
      <c r="AB218">
        <v>132.19999999999999</v>
      </c>
      <c r="AC218">
        <v>136.80000000000001</v>
      </c>
      <c r="AD218">
        <v>140.1</v>
      </c>
    </row>
    <row r="219" spans="1:30" x14ac:dyDescent="0.3">
      <c r="A219" t="s">
        <v>30</v>
      </c>
      <c r="B219">
        <v>2019</v>
      </c>
      <c r="C219" t="s">
        <v>31</v>
      </c>
      <c r="D219">
        <v>136.6</v>
      </c>
      <c r="E219">
        <v>152.5</v>
      </c>
      <c r="F219">
        <v>138.19999999999999</v>
      </c>
      <c r="G219">
        <v>142.4</v>
      </c>
      <c r="H219">
        <v>123.9</v>
      </c>
      <c r="I219">
        <v>135.5</v>
      </c>
      <c r="J219">
        <v>131.69999999999999</v>
      </c>
      <c r="K219">
        <v>121.3</v>
      </c>
      <c r="L219">
        <v>108.4</v>
      </c>
      <c r="M219">
        <v>138.9</v>
      </c>
      <c r="N219">
        <v>137</v>
      </c>
      <c r="O219">
        <v>155.80000000000001</v>
      </c>
      <c r="P219">
        <v>137.4</v>
      </c>
      <c r="Q219">
        <v>162.69999999999999</v>
      </c>
      <c r="R219">
        <v>150.6</v>
      </c>
      <c r="S219">
        <v>145.1</v>
      </c>
      <c r="T219">
        <v>149.9</v>
      </c>
      <c r="U219" t="s">
        <v>32</v>
      </c>
      <c r="V219">
        <v>146.19999999999999</v>
      </c>
      <c r="W219">
        <v>150.1</v>
      </c>
      <c r="X219">
        <v>149.6</v>
      </c>
      <c r="Y219">
        <v>128.6</v>
      </c>
      <c r="Z219">
        <v>142.9</v>
      </c>
      <c r="AA219">
        <v>155.19999999999999</v>
      </c>
      <c r="AB219">
        <v>133.5</v>
      </c>
      <c r="AC219">
        <v>141.69999999999999</v>
      </c>
      <c r="AD219">
        <v>141</v>
      </c>
    </row>
    <row r="220" spans="1:30" x14ac:dyDescent="0.3">
      <c r="A220" t="s">
        <v>33</v>
      </c>
      <c r="B220">
        <v>2019</v>
      </c>
      <c r="C220" t="s">
        <v>31</v>
      </c>
      <c r="D220">
        <v>138.30000000000001</v>
      </c>
      <c r="E220">
        <v>149.4</v>
      </c>
      <c r="F220">
        <v>143.5</v>
      </c>
      <c r="G220">
        <v>141.69999999999999</v>
      </c>
      <c r="H220">
        <v>118.1</v>
      </c>
      <c r="I220">
        <v>135.19999999999999</v>
      </c>
      <c r="J220">
        <v>130.5</v>
      </c>
      <c r="K220">
        <v>118.2</v>
      </c>
      <c r="L220">
        <v>110.4</v>
      </c>
      <c r="M220">
        <v>140.4</v>
      </c>
      <c r="N220">
        <v>128.1</v>
      </c>
      <c r="O220">
        <v>153.19999999999999</v>
      </c>
      <c r="P220">
        <v>137.30000000000001</v>
      </c>
      <c r="Q220">
        <v>164.7</v>
      </c>
      <c r="R220">
        <v>143</v>
      </c>
      <c r="S220">
        <v>130.4</v>
      </c>
      <c r="T220">
        <v>141.1</v>
      </c>
      <c r="U220" t="s">
        <v>116</v>
      </c>
      <c r="V220">
        <v>128.6</v>
      </c>
      <c r="W220">
        <v>136.30000000000001</v>
      </c>
      <c r="X220">
        <v>137.80000000000001</v>
      </c>
      <c r="Y220">
        <v>118.6</v>
      </c>
      <c r="Z220">
        <v>131.9</v>
      </c>
      <c r="AA220">
        <v>146.6</v>
      </c>
      <c r="AB220">
        <v>131.69999999999999</v>
      </c>
      <c r="AC220">
        <v>131.80000000000001</v>
      </c>
      <c r="AD220">
        <v>138</v>
      </c>
    </row>
    <row r="221" spans="1:30" x14ac:dyDescent="0.3">
      <c r="A221" t="s">
        <v>35</v>
      </c>
      <c r="B221">
        <v>2019</v>
      </c>
      <c r="C221" t="s">
        <v>31</v>
      </c>
      <c r="D221">
        <v>137.1</v>
      </c>
      <c r="E221">
        <v>151.4</v>
      </c>
      <c r="F221">
        <v>140.19999999999999</v>
      </c>
      <c r="G221">
        <v>142.1</v>
      </c>
      <c r="H221">
        <v>121.8</v>
      </c>
      <c r="I221">
        <v>135.4</v>
      </c>
      <c r="J221">
        <v>131.30000000000001</v>
      </c>
      <c r="K221">
        <v>120.3</v>
      </c>
      <c r="L221">
        <v>109.1</v>
      </c>
      <c r="M221">
        <v>139.4</v>
      </c>
      <c r="N221">
        <v>133.30000000000001</v>
      </c>
      <c r="O221">
        <v>154.6</v>
      </c>
      <c r="P221">
        <v>137.4</v>
      </c>
      <c r="Q221">
        <v>163.19999999999999</v>
      </c>
      <c r="R221">
        <v>147.6</v>
      </c>
      <c r="S221">
        <v>139</v>
      </c>
      <c r="T221">
        <v>146.4</v>
      </c>
      <c r="U221" t="s">
        <v>116</v>
      </c>
      <c r="V221">
        <v>139.5</v>
      </c>
      <c r="W221">
        <v>143.6</v>
      </c>
      <c r="X221">
        <v>145.1</v>
      </c>
      <c r="Y221">
        <v>123.3</v>
      </c>
      <c r="Z221">
        <v>136.69999999999999</v>
      </c>
      <c r="AA221">
        <v>150.19999999999999</v>
      </c>
      <c r="AB221">
        <v>132.80000000000001</v>
      </c>
      <c r="AC221">
        <v>136.9</v>
      </c>
      <c r="AD221">
        <v>139.6</v>
      </c>
    </row>
    <row r="222" spans="1:30" x14ac:dyDescent="0.3">
      <c r="A222" t="s">
        <v>30</v>
      </c>
      <c r="B222">
        <v>2019</v>
      </c>
      <c r="C222" t="s">
        <v>36</v>
      </c>
      <c r="D222">
        <v>136.80000000000001</v>
      </c>
      <c r="E222">
        <v>153</v>
      </c>
      <c r="F222">
        <v>139.1</v>
      </c>
      <c r="G222">
        <v>142.5</v>
      </c>
      <c r="H222">
        <v>124.1</v>
      </c>
      <c r="I222">
        <v>135.80000000000001</v>
      </c>
      <c r="J222">
        <v>128.69999999999999</v>
      </c>
      <c r="K222">
        <v>121.5</v>
      </c>
      <c r="L222">
        <v>108.3</v>
      </c>
      <c r="M222">
        <v>139.19999999999999</v>
      </c>
      <c r="N222">
        <v>137.4</v>
      </c>
      <c r="O222">
        <v>156.19999999999999</v>
      </c>
      <c r="P222">
        <v>137.19999999999999</v>
      </c>
      <c r="Q222">
        <v>162.80000000000001</v>
      </c>
      <c r="R222">
        <v>150.5</v>
      </c>
      <c r="S222">
        <v>146.1</v>
      </c>
      <c r="T222">
        <v>149.9</v>
      </c>
      <c r="U222" t="s">
        <v>32</v>
      </c>
      <c r="V222">
        <v>145.30000000000001</v>
      </c>
      <c r="W222">
        <v>150.1</v>
      </c>
      <c r="X222">
        <v>149.9</v>
      </c>
      <c r="Y222">
        <v>129.19999999999999</v>
      </c>
      <c r="Z222">
        <v>143.4</v>
      </c>
      <c r="AA222">
        <v>155.5</v>
      </c>
      <c r="AB222">
        <v>134.9</v>
      </c>
      <c r="AC222">
        <v>142.19999999999999</v>
      </c>
      <c r="AD222">
        <v>141</v>
      </c>
    </row>
    <row r="223" spans="1:30" x14ac:dyDescent="0.3">
      <c r="A223" t="s">
        <v>33</v>
      </c>
      <c r="B223">
        <v>2019</v>
      </c>
      <c r="C223" t="s">
        <v>36</v>
      </c>
      <c r="D223">
        <v>139.4</v>
      </c>
      <c r="E223">
        <v>150.1</v>
      </c>
      <c r="F223">
        <v>145.30000000000001</v>
      </c>
      <c r="G223">
        <v>141.69999999999999</v>
      </c>
      <c r="H223">
        <v>118.4</v>
      </c>
      <c r="I223">
        <v>137</v>
      </c>
      <c r="J223">
        <v>131.6</v>
      </c>
      <c r="K223">
        <v>119.9</v>
      </c>
      <c r="L223">
        <v>110.4</v>
      </c>
      <c r="M223">
        <v>140.80000000000001</v>
      </c>
      <c r="N223">
        <v>128.30000000000001</v>
      </c>
      <c r="O223">
        <v>153.5</v>
      </c>
      <c r="P223">
        <v>138</v>
      </c>
      <c r="Q223">
        <v>164.9</v>
      </c>
      <c r="R223">
        <v>143.30000000000001</v>
      </c>
      <c r="S223">
        <v>130.80000000000001</v>
      </c>
      <c r="T223">
        <v>141.4</v>
      </c>
      <c r="U223" t="s">
        <v>117</v>
      </c>
      <c r="V223">
        <v>127.1</v>
      </c>
      <c r="W223">
        <v>136.6</v>
      </c>
      <c r="X223">
        <v>138.5</v>
      </c>
      <c r="Y223">
        <v>119.2</v>
      </c>
      <c r="Z223">
        <v>132.19999999999999</v>
      </c>
      <c r="AA223">
        <v>146.6</v>
      </c>
      <c r="AB223">
        <v>133</v>
      </c>
      <c r="AC223">
        <v>132.4</v>
      </c>
      <c r="AD223">
        <v>138.6</v>
      </c>
    </row>
    <row r="224" spans="1:30" x14ac:dyDescent="0.3">
      <c r="A224" t="s">
        <v>35</v>
      </c>
      <c r="B224">
        <v>2019</v>
      </c>
      <c r="C224" t="s">
        <v>36</v>
      </c>
      <c r="D224">
        <v>137.6</v>
      </c>
      <c r="E224">
        <v>152</v>
      </c>
      <c r="F224">
        <v>141.5</v>
      </c>
      <c r="G224">
        <v>142.19999999999999</v>
      </c>
      <c r="H224">
        <v>122</v>
      </c>
      <c r="I224">
        <v>136.4</v>
      </c>
      <c r="J224">
        <v>129.69999999999999</v>
      </c>
      <c r="K224">
        <v>121</v>
      </c>
      <c r="L224">
        <v>109</v>
      </c>
      <c r="M224">
        <v>139.69999999999999</v>
      </c>
      <c r="N224">
        <v>133.6</v>
      </c>
      <c r="O224">
        <v>154.9</v>
      </c>
      <c r="P224">
        <v>137.5</v>
      </c>
      <c r="Q224">
        <v>163.4</v>
      </c>
      <c r="R224">
        <v>147.69999999999999</v>
      </c>
      <c r="S224">
        <v>139.69999999999999</v>
      </c>
      <c r="T224">
        <v>146.5</v>
      </c>
      <c r="U224" t="s">
        <v>117</v>
      </c>
      <c r="V224">
        <v>138.4</v>
      </c>
      <c r="W224">
        <v>143.69999999999999</v>
      </c>
      <c r="X224">
        <v>145.6</v>
      </c>
      <c r="Y224">
        <v>123.9</v>
      </c>
      <c r="Z224">
        <v>137.1</v>
      </c>
      <c r="AA224">
        <v>150.30000000000001</v>
      </c>
      <c r="AB224">
        <v>134.1</v>
      </c>
      <c r="AC224">
        <v>137.4</v>
      </c>
      <c r="AD224">
        <v>139.9</v>
      </c>
    </row>
    <row r="225" spans="1:30" x14ac:dyDescent="0.3">
      <c r="A225" t="s">
        <v>30</v>
      </c>
      <c r="B225">
        <v>2019</v>
      </c>
      <c r="C225" t="s">
        <v>38</v>
      </c>
      <c r="D225">
        <v>136.9</v>
      </c>
      <c r="E225">
        <v>154.1</v>
      </c>
      <c r="F225">
        <v>138.69999999999999</v>
      </c>
      <c r="G225">
        <v>142.5</v>
      </c>
      <c r="H225">
        <v>124.1</v>
      </c>
      <c r="I225">
        <v>136.1</v>
      </c>
      <c r="J225">
        <v>128.19999999999999</v>
      </c>
      <c r="K225">
        <v>122.3</v>
      </c>
      <c r="L225">
        <v>108.3</v>
      </c>
      <c r="M225">
        <v>138.9</v>
      </c>
      <c r="N225">
        <v>137.4</v>
      </c>
      <c r="O225">
        <v>156.4</v>
      </c>
      <c r="P225">
        <v>137.30000000000001</v>
      </c>
      <c r="Q225">
        <v>162.9</v>
      </c>
      <c r="R225">
        <v>150.80000000000001</v>
      </c>
      <c r="S225">
        <v>146.1</v>
      </c>
      <c r="T225">
        <v>150.1</v>
      </c>
      <c r="U225" t="s">
        <v>32</v>
      </c>
      <c r="V225">
        <v>146.4</v>
      </c>
      <c r="W225">
        <v>150</v>
      </c>
      <c r="X225">
        <v>150.4</v>
      </c>
      <c r="Y225">
        <v>129.9</v>
      </c>
      <c r="Z225">
        <v>143.80000000000001</v>
      </c>
      <c r="AA225">
        <v>155.5</v>
      </c>
      <c r="AB225">
        <v>134</v>
      </c>
      <c r="AC225">
        <v>142.4</v>
      </c>
      <c r="AD225">
        <v>141.19999999999999</v>
      </c>
    </row>
    <row r="226" spans="1:30" x14ac:dyDescent="0.3">
      <c r="A226" t="s">
        <v>33</v>
      </c>
      <c r="B226">
        <v>2019</v>
      </c>
      <c r="C226" t="s">
        <v>38</v>
      </c>
      <c r="D226">
        <v>139.69999999999999</v>
      </c>
      <c r="E226">
        <v>151.1</v>
      </c>
      <c r="F226">
        <v>142.9</v>
      </c>
      <c r="G226">
        <v>141.9</v>
      </c>
      <c r="H226">
        <v>118.4</v>
      </c>
      <c r="I226">
        <v>139.4</v>
      </c>
      <c r="J226">
        <v>141.19999999999999</v>
      </c>
      <c r="K226">
        <v>120.7</v>
      </c>
      <c r="L226">
        <v>110.4</v>
      </c>
      <c r="M226">
        <v>140.69999999999999</v>
      </c>
      <c r="N226">
        <v>128.5</v>
      </c>
      <c r="O226">
        <v>153.9</v>
      </c>
      <c r="P226">
        <v>139.6</v>
      </c>
      <c r="Q226">
        <v>165.3</v>
      </c>
      <c r="R226">
        <v>143.5</v>
      </c>
      <c r="S226">
        <v>131.19999999999999</v>
      </c>
      <c r="T226">
        <v>141.6</v>
      </c>
      <c r="U226" t="s">
        <v>118</v>
      </c>
      <c r="V226">
        <v>128.80000000000001</v>
      </c>
      <c r="W226">
        <v>136.80000000000001</v>
      </c>
      <c r="X226">
        <v>139.19999999999999</v>
      </c>
      <c r="Y226">
        <v>119.9</v>
      </c>
      <c r="Z226">
        <v>133</v>
      </c>
      <c r="AA226">
        <v>146.69999999999999</v>
      </c>
      <c r="AB226">
        <v>132.5</v>
      </c>
      <c r="AC226">
        <v>132.80000000000001</v>
      </c>
      <c r="AD226">
        <v>139.5</v>
      </c>
    </row>
    <row r="227" spans="1:30" x14ac:dyDescent="0.3">
      <c r="A227" t="s">
        <v>35</v>
      </c>
      <c r="B227">
        <v>2019</v>
      </c>
      <c r="C227" t="s">
        <v>38</v>
      </c>
      <c r="D227">
        <v>137.80000000000001</v>
      </c>
      <c r="E227">
        <v>153</v>
      </c>
      <c r="F227">
        <v>140.30000000000001</v>
      </c>
      <c r="G227">
        <v>142.30000000000001</v>
      </c>
      <c r="H227">
        <v>122</v>
      </c>
      <c r="I227">
        <v>137.6</v>
      </c>
      <c r="J227">
        <v>132.6</v>
      </c>
      <c r="K227">
        <v>121.8</v>
      </c>
      <c r="L227">
        <v>109</v>
      </c>
      <c r="M227">
        <v>139.5</v>
      </c>
      <c r="N227">
        <v>133.69999999999999</v>
      </c>
      <c r="O227">
        <v>155.19999999999999</v>
      </c>
      <c r="P227">
        <v>138.1</v>
      </c>
      <c r="Q227">
        <v>163.5</v>
      </c>
      <c r="R227">
        <v>147.9</v>
      </c>
      <c r="S227">
        <v>139.9</v>
      </c>
      <c r="T227">
        <v>146.69999999999999</v>
      </c>
      <c r="U227" t="s">
        <v>118</v>
      </c>
      <c r="V227">
        <v>139.69999999999999</v>
      </c>
      <c r="W227">
        <v>143.80000000000001</v>
      </c>
      <c r="X227">
        <v>146.19999999999999</v>
      </c>
      <c r="Y227">
        <v>124.6</v>
      </c>
      <c r="Z227">
        <v>137.69999999999999</v>
      </c>
      <c r="AA227">
        <v>150.30000000000001</v>
      </c>
      <c r="AB227">
        <v>133.4</v>
      </c>
      <c r="AC227">
        <v>137.69999999999999</v>
      </c>
      <c r="AD227">
        <v>140.4</v>
      </c>
    </row>
    <row r="228" spans="1:30" x14ac:dyDescent="0.3">
      <c r="A228" t="s">
        <v>30</v>
      </c>
      <c r="B228">
        <v>2019</v>
      </c>
      <c r="C228" t="s">
        <v>41</v>
      </c>
      <c r="D228">
        <v>137.4</v>
      </c>
      <c r="E228">
        <v>159.5</v>
      </c>
      <c r="F228">
        <v>134.5</v>
      </c>
      <c r="G228">
        <v>142.6</v>
      </c>
      <c r="H228">
        <v>124</v>
      </c>
      <c r="I228">
        <v>143.69999999999999</v>
      </c>
      <c r="J228">
        <v>133.4</v>
      </c>
      <c r="K228">
        <v>125.1</v>
      </c>
      <c r="L228">
        <v>109.3</v>
      </c>
      <c r="M228">
        <v>139.30000000000001</v>
      </c>
      <c r="N228">
        <v>137.69999999999999</v>
      </c>
      <c r="O228">
        <v>156.4</v>
      </c>
      <c r="P228">
        <v>139.19999999999999</v>
      </c>
      <c r="Q228">
        <v>163.30000000000001</v>
      </c>
      <c r="R228">
        <v>151.30000000000001</v>
      </c>
      <c r="S228">
        <v>146.6</v>
      </c>
      <c r="T228">
        <v>150.69999999999999</v>
      </c>
      <c r="U228" t="s">
        <v>32</v>
      </c>
      <c r="V228">
        <v>146.9</v>
      </c>
      <c r="W228">
        <v>149.5</v>
      </c>
      <c r="X228">
        <v>151.30000000000001</v>
      </c>
      <c r="Y228">
        <v>130.19999999999999</v>
      </c>
      <c r="Z228">
        <v>145.9</v>
      </c>
      <c r="AA228">
        <v>156.69999999999999</v>
      </c>
      <c r="AB228">
        <v>133.9</v>
      </c>
      <c r="AC228">
        <v>142.9</v>
      </c>
      <c r="AD228">
        <v>142.4</v>
      </c>
    </row>
    <row r="229" spans="1:30" x14ac:dyDescent="0.3">
      <c r="A229" t="s">
        <v>33</v>
      </c>
      <c r="B229">
        <v>2019</v>
      </c>
      <c r="C229" t="s">
        <v>41</v>
      </c>
      <c r="D229">
        <v>140.4</v>
      </c>
      <c r="E229">
        <v>156.69999999999999</v>
      </c>
      <c r="F229">
        <v>138.30000000000001</v>
      </c>
      <c r="G229">
        <v>142.4</v>
      </c>
      <c r="H229">
        <v>118.6</v>
      </c>
      <c r="I229">
        <v>149.69999999999999</v>
      </c>
      <c r="J229">
        <v>161.6</v>
      </c>
      <c r="K229">
        <v>124.4</v>
      </c>
      <c r="L229">
        <v>111.2</v>
      </c>
      <c r="M229">
        <v>141</v>
      </c>
      <c r="N229">
        <v>128.9</v>
      </c>
      <c r="O229">
        <v>154.5</v>
      </c>
      <c r="P229">
        <v>143.80000000000001</v>
      </c>
      <c r="Q229">
        <v>166.2</v>
      </c>
      <c r="R229">
        <v>144</v>
      </c>
      <c r="S229">
        <v>131.69999999999999</v>
      </c>
      <c r="T229">
        <v>142.19999999999999</v>
      </c>
      <c r="U229" t="s">
        <v>119</v>
      </c>
      <c r="V229">
        <v>129.4</v>
      </c>
      <c r="W229">
        <v>137.19999999999999</v>
      </c>
      <c r="X229">
        <v>139.80000000000001</v>
      </c>
      <c r="Y229">
        <v>120.1</v>
      </c>
      <c r="Z229">
        <v>134</v>
      </c>
      <c r="AA229">
        <v>148</v>
      </c>
      <c r="AB229">
        <v>132.6</v>
      </c>
      <c r="AC229">
        <v>133.30000000000001</v>
      </c>
      <c r="AD229">
        <v>141.5</v>
      </c>
    </row>
    <row r="230" spans="1:30" x14ac:dyDescent="0.3">
      <c r="A230" t="s">
        <v>35</v>
      </c>
      <c r="B230">
        <v>2019</v>
      </c>
      <c r="C230" t="s">
        <v>41</v>
      </c>
      <c r="D230">
        <v>138.30000000000001</v>
      </c>
      <c r="E230">
        <v>158.5</v>
      </c>
      <c r="F230">
        <v>136</v>
      </c>
      <c r="G230">
        <v>142.5</v>
      </c>
      <c r="H230">
        <v>122</v>
      </c>
      <c r="I230">
        <v>146.5</v>
      </c>
      <c r="J230">
        <v>143</v>
      </c>
      <c r="K230">
        <v>124.9</v>
      </c>
      <c r="L230">
        <v>109.9</v>
      </c>
      <c r="M230">
        <v>139.9</v>
      </c>
      <c r="N230">
        <v>134</v>
      </c>
      <c r="O230">
        <v>155.5</v>
      </c>
      <c r="P230">
        <v>140.9</v>
      </c>
      <c r="Q230">
        <v>164.1</v>
      </c>
      <c r="R230">
        <v>148.4</v>
      </c>
      <c r="S230">
        <v>140.4</v>
      </c>
      <c r="T230">
        <v>147.30000000000001</v>
      </c>
      <c r="U230" t="s">
        <v>119</v>
      </c>
      <c r="V230">
        <v>140.30000000000001</v>
      </c>
      <c r="W230">
        <v>143.69999999999999</v>
      </c>
      <c r="X230">
        <v>146.9</v>
      </c>
      <c r="Y230">
        <v>124.9</v>
      </c>
      <c r="Z230">
        <v>139.19999999999999</v>
      </c>
      <c r="AA230">
        <v>151.6</v>
      </c>
      <c r="AB230">
        <v>133.4</v>
      </c>
      <c r="AC230">
        <v>138.19999999999999</v>
      </c>
      <c r="AD230">
        <v>142</v>
      </c>
    </row>
    <row r="231" spans="1:30" x14ac:dyDescent="0.3">
      <c r="A231" t="s">
        <v>30</v>
      </c>
      <c r="B231">
        <v>2019</v>
      </c>
      <c r="C231" t="s">
        <v>42</v>
      </c>
      <c r="D231">
        <v>137.80000000000001</v>
      </c>
      <c r="E231">
        <v>163.5</v>
      </c>
      <c r="F231">
        <v>136.19999999999999</v>
      </c>
      <c r="G231">
        <v>143.19999999999999</v>
      </c>
      <c r="H231">
        <v>124.3</v>
      </c>
      <c r="I231">
        <v>143.30000000000001</v>
      </c>
      <c r="J231">
        <v>140.6</v>
      </c>
      <c r="K231">
        <v>128.69999999999999</v>
      </c>
      <c r="L231">
        <v>110.6</v>
      </c>
      <c r="M231">
        <v>140.4</v>
      </c>
      <c r="N231">
        <v>138</v>
      </c>
      <c r="O231">
        <v>156.6</v>
      </c>
      <c r="P231">
        <v>141</v>
      </c>
      <c r="Q231">
        <v>164.2</v>
      </c>
      <c r="R231">
        <v>151.4</v>
      </c>
      <c r="S231">
        <v>146.5</v>
      </c>
      <c r="T231">
        <v>150.69999999999999</v>
      </c>
      <c r="U231" t="s">
        <v>32</v>
      </c>
      <c r="V231">
        <v>147.80000000000001</v>
      </c>
      <c r="W231">
        <v>149.6</v>
      </c>
      <c r="X231">
        <v>151.69999999999999</v>
      </c>
      <c r="Y231">
        <v>130.19999999999999</v>
      </c>
      <c r="Z231">
        <v>146.4</v>
      </c>
      <c r="AA231">
        <v>157.69999999999999</v>
      </c>
      <c r="AB231">
        <v>134.80000000000001</v>
      </c>
      <c r="AC231">
        <v>143.30000000000001</v>
      </c>
      <c r="AD231">
        <v>143.6</v>
      </c>
    </row>
    <row r="232" spans="1:30" x14ac:dyDescent="0.3">
      <c r="A232" t="s">
        <v>33</v>
      </c>
      <c r="B232">
        <v>2019</v>
      </c>
      <c r="C232" t="s">
        <v>42</v>
      </c>
      <c r="D232">
        <v>140.69999999999999</v>
      </c>
      <c r="E232">
        <v>159.6</v>
      </c>
      <c r="F232">
        <v>140.4</v>
      </c>
      <c r="G232">
        <v>143.4</v>
      </c>
      <c r="H232">
        <v>118.6</v>
      </c>
      <c r="I232">
        <v>150.9</v>
      </c>
      <c r="J232">
        <v>169.8</v>
      </c>
      <c r="K232">
        <v>127.4</v>
      </c>
      <c r="L232">
        <v>111.8</v>
      </c>
      <c r="M232">
        <v>141</v>
      </c>
      <c r="N232">
        <v>129</v>
      </c>
      <c r="O232">
        <v>155.1</v>
      </c>
      <c r="P232">
        <v>145.6</v>
      </c>
      <c r="Q232">
        <v>166.7</v>
      </c>
      <c r="R232">
        <v>144.30000000000001</v>
      </c>
      <c r="S232">
        <v>131.69999999999999</v>
      </c>
      <c r="T232">
        <v>142.4</v>
      </c>
      <c r="U232" t="s">
        <v>120</v>
      </c>
      <c r="V232">
        <v>130.5</v>
      </c>
      <c r="W232">
        <v>137.4</v>
      </c>
      <c r="X232">
        <v>140.30000000000001</v>
      </c>
      <c r="Y232">
        <v>119.6</v>
      </c>
      <c r="Z232">
        <v>134.30000000000001</v>
      </c>
      <c r="AA232">
        <v>148.9</v>
      </c>
      <c r="AB232">
        <v>133.69999999999999</v>
      </c>
      <c r="AC232">
        <v>133.6</v>
      </c>
      <c r="AD232">
        <v>142.1</v>
      </c>
    </row>
    <row r="233" spans="1:30" x14ac:dyDescent="0.3">
      <c r="A233" t="s">
        <v>35</v>
      </c>
      <c r="B233">
        <v>2019</v>
      </c>
      <c r="C233" t="s">
        <v>42</v>
      </c>
      <c r="D233">
        <v>138.69999999999999</v>
      </c>
      <c r="E233">
        <v>162.1</v>
      </c>
      <c r="F233">
        <v>137.80000000000001</v>
      </c>
      <c r="G233">
        <v>143.30000000000001</v>
      </c>
      <c r="H233">
        <v>122.2</v>
      </c>
      <c r="I233">
        <v>146.80000000000001</v>
      </c>
      <c r="J233">
        <v>150.5</v>
      </c>
      <c r="K233">
        <v>128.30000000000001</v>
      </c>
      <c r="L233">
        <v>111</v>
      </c>
      <c r="M233">
        <v>140.6</v>
      </c>
      <c r="N233">
        <v>134.19999999999999</v>
      </c>
      <c r="O233">
        <v>155.9</v>
      </c>
      <c r="P233">
        <v>142.69999999999999</v>
      </c>
      <c r="Q233">
        <v>164.9</v>
      </c>
      <c r="R233">
        <v>148.6</v>
      </c>
      <c r="S233">
        <v>140.4</v>
      </c>
      <c r="T233">
        <v>147.4</v>
      </c>
      <c r="U233" t="s">
        <v>120</v>
      </c>
      <c r="V233">
        <v>141.19999999999999</v>
      </c>
      <c r="W233">
        <v>143.80000000000001</v>
      </c>
      <c r="X233">
        <v>147.4</v>
      </c>
      <c r="Y233">
        <v>124.6</v>
      </c>
      <c r="Z233">
        <v>139.6</v>
      </c>
      <c r="AA233">
        <v>152.5</v>
      </c>
      <c r="AB233">
        <v>134.30000000000001</v>
      </c>
      <c r="AC233">
        <v>138.6</v>
      </c>
      <c r="AD233">
        <v>142.9</v>
      </c>
    </row>
    <row r="234" spans="1:30" x14ac:dyDescent="0.3">
      <c r="A234" t="s">
        <v>30</v>
      </c>
      <c r="B234">
        <v>2019</v>
      </c>
      <c r="C234" t="s">
        <v>44</v>
      </c>
      <c r="D234">
        <v>138.4</v>
      </c>
      <c r="E234">
        <v>164</v>
      </c>
      <c r="F234">
        <v>138.4</v>
      </c>
      <c r="G234">
        <v>143.9</v>
      </c>
      <c r="H234">
        <v>124.4</v>
      </c>
      <c r="I234">
        <v>146.4</v>
      </c>
      <c r="J234">
        <v>150.1</v>
      </c>
      <c r="K234">
        <v>130.6</v>
      </c>
      <c r="L234">
        <v>110.8</v>
      </c>
      <c r="M234">
        <v>141.69999999999999</v>
      </c>
      <c r="N234">
        <v>138.5</v>
      </c>
      <c r="O234">
        <v>156.69999999999999</v>
      </c>
      <c r="P234">
        <v>143</v>
      </c>
      <c r="Q234">
        <v>164.5</v>
      </c>
      <c r="R234">
        <v>151.6</v>
      </c>
      <c r="S234">
        <v>146.6</v>
      </c>
      <c r="T234">
        <v>150.9</v>
      </c>
      <c r="U234" t="s">
        <v>32</v>
      </c>
      <c r="V234">
        <v>146.80000000000001</v>
      </c>
      <c r="W234">
        <v>150</v>
      </c>
      <c r="X234">
        <v>152.19999999999999</v>
      </c>
      <c r="Y234">
        <v>131.19999999999999</v>
      </c>
      <c r="Z234">
        <v>147.5</v>
      </c>
      <c r="AA234">
        <v>159.1</v>
      </c>
      <c r="AB234">
        <v>136.1</v>
      </c>
      <c r="AC234">
        <v>144.19999999999999</v>
      </c>
      <c r="AD234">
        <v>144.9</v>
      </c>
    </row>
    <row r="235" spans="1:30" x14ac:dyDescent="0.3">
      <c r="A235" t="s">
        <v>33</v>
      </c>
      <c r="B235">
        <v>2019</v>
      </c>
      <c r="C235" t="s">
        <v>44</v>
      </c>
      <c r="D235">
        <v>141.4</v>
      </c>
      <c r="E235">
        <v>160.19999999999999</v>
      </c>
      <c r="F235">
        <v>142.5</v>
      </c>
      <c r="G235">
        <v>144.1</v>
      </c>
      <c r="H235">
        <v>119.3</v>
      </c>
      <c r="I235">
        <v>154.69999999999999</v>
      </c>
      <c r="J235">
        <v>180.1</v>
      </c>
      <c r="K235">
        <v>128.9</v>
      </c>
      <c r="L235">
        <v>111.8</v>
      </c>
      <c r="M235">
        <v>141.6</v>
      </c>
      <c r="N235">
        <v>129.5</v>
      </c>
      <c r="O235">
        <v>155.6</v>
      </c>
      <c r="P235">
        <v>147.69999999999999</v>
      </c>
      <c r="Q235">
        <v>167.2</v>
      </c>
      <c r="R235">
        <v>144.69999999999999</v>
      </c>
      <c r="S235">
        <v>131.9</v>
      </c>
      <c r="T235">
        <v>142.69999999999999</v>
      </c>
      <c r="U235" t="s">
        <v>121</v>
      </c>
      <c r="V235">
        <v>127</v>
      </c>
      <c r="W235">
        <v>137.69999999999999</v>
      </c>
      <c r="X235">
        <v>140.80000000000001</v>
      </c>
      <c r="Y235">
        <v>120.6</v>
      </c>
      <c r="Z235">
        <v>135</v>
      </c>
      <c r="AA235">
        <v>150.4</v>
      </c>
      <c r="AB235">
        <v>135.1</v>
      </c>
      <c r="AC235">
        <v>134.5</v>
      </c>
      <c r="AD235">
        <v>143.30000000000001</v>
      </c>
    </row>
    <row r="236" spans="1:30" x14ac:dyDescent="0.3">
      <c r="A236" t="s">
        <v>35</v>
      </c>
      <c r="B236">
        <v>2019</v>
      </c>
      <c r="C236" t="s">
        <v>44</v>
      </c>
      <c r="D236">
        <v>139.30000000000001</v>
      </c>
      <c r="E236">
        <v>162.69999999999999</v>
      </c>
      <c r="F236">
        <v>140</v>
      </c>
      <c r="G236">
        <v>144</v>
      </c>
      <c r="H236">
        <v>122.5</v>
      </c>
      <c r="I236">
        <v>150.30000000000001</v>
      </c>
      <c r="J236">
        <v>160.30000000000001</v>
      </c>
      <c r="K236">
        <v>130</v>
      </c>
      <c r="L236">
        <v>111.1</v>
      </c>
      <c r="M236">
        <v>141.69999999999999</v>
      </c>
      <c r="N236">
        <v>134.69999999999999</v>
      </c>
      <c r="O236">
        <v>156.19999999999999</v>
      </c>
      <c r="P236">
        <v>144.69999999999999</v>
      </c>
      <c r="Q236">
        <v>165.2</v>
      </c>
      <c r="R236">
        <v>148.9</v>
      </c>
      <c r="S236">
        <v>140.5</v>
      </c>
      <c r="T236">
        <v>147.6</v>
      </c>
      <c r="U236" t="s">
        <v>121</v>
      </c>
      <c r="V236">
        <v>139.30000000000001</v>
      </c>
      <c r="W236">
        <v>144.19999999999999</v>
      </c>
      <c r="X236">
        <v>147.9</v>
      </c>
      <c r="Y236">
        <v>125.6</v>
      </c>
      <c r="Z236">
        <v>140.5</v>
      </c>
      <c r="AA236">
        <v>154</v>
      </c>
      <c r="AB236">
        <v>135.69999999999999</v>
      </c>
      <c r="AC236">
        <v>139.5</v>
      </c>
      <c r="AD236">
        <v>144.19999999999999</v>
      </c>
    </row>
    <row r="237" spans="1:30" x14ac:dyDescent="0.3">
      <c r="A237" t="s">
        <v>30</v>
      </c>
      <c r="B237">
        <v>2019</v>
      </c>
      <c r="C237" t="s">
        <v>46</v>
      </c>
      <c r="D237">
        <v>139.19999999999999</v>
      </c>
      <c r="E237">
        <v>161.9</v>
      </c>
      <c r="F237">
        <v>137.1</v>
      </c>
      <c r="G237">
        <v>144.6</v>
      </c>
      <c r="H237">
        <v>124.7</v>
      </c>
      <c r="I237">
        <v>145.5</v>
      </c>
      <c r="J237">
        <v>156.19999999999999</v>
      </c>
      <c r="K237">
        <v>131.5</v>
      </c>
      <c r="L237">
        <v>111.7</v>
      </c>
      <c r="M237">
        <v>142.69999999999999</v>
      </c>
      <c r="N237">
        <v>138.5</v>
      </c>
      <c r="O237">
        <v>156.9</v>
      </c>
      <c r="P237">
        <v>144</v>
      </c>
      <c r="Q237">
        <v>165.1</v>
      </c>
      <c r="R237">
        <v>151.80000000000001</v>
      </c>
      <c r="S237">
        <v>146.6</v>
      </c>
      <c r="T237">
        <v>151.1</v>
      </c>
      <c r="U237" t="s">
        <v>32</v>
      </c>
      <c r="V237">
        <v>146.4</v>
      </c>
      <c r="W237">
        <v>150.19999999999999</v>
      </c>
      <c r="X237">
        <v>152.69999999999999</v>
      </c>
      <c r="Y237">
        <v>131.4</v>
      </c>
      <c r="Z237">
        <v>148</v>
      </c>
      <c r="AA237">
        <v>159.69999999999999</v>
      </c>
      <c r="AB237">
        <v>138.80000000000001</v>
      </c>
      <c r="AC237">
        <v>144.9</v>
      </c>
      <c r="AD237">
        <v>145.69999999999999</v>
      </c>
    </row>
    <row r="238" spans="1:30" x14ac:dyDescent="0.3">
      <c r="A238" t="s">
        <v>33</v>
      </c>
      <c r="B238">
        <v>2019</v>
      </c>
      <c r="C238" t="s">
        <v>46</v>
      </c>
      <c r="D238">
        <v>142.1</v>
      </c>
      <c r="E238">
        <v>158.30000000000001</v>
      </c>
      <c r="F238">
        <v>140.80000000000001</v>
      </c>
      <c r="G238">
        <v>144.9</v>
      </c>
      <c r="H238">
        <v>119.9</v>
      </c>
      <c r="I238">
        <v>153.9</v>
      </c>
      <c r="J238">
        <v>189.1</v>
      </c>
      <c r="K238">
        <v>129.80000000000001</v>
      </c>
      <c r="L238">
        <v>112.7</v>
      </c>
      <c r="M238">
        <v>142.5</v>
      </c>
      <c r="N238">
        <v>129.80000000000001</v>
      </c>
      <c r="O238">
        <v>156.19999999999999</v>
      </c>
      <c r="P238">
        <v>149.1</v>
      </c>
      <c r="Q238">
        <v>167.9</v>
      </c>
      <c r="R238">
        <v>145</v>
      </c>
      <c r="S238">
        <v>132.19999999999999</v>
      </c>
      <c r="T238">
        <v>143</v>
      </c>
      <c r="U238" t="s">
        <v>122</v>
      </c>
      <c r="V238">
        <v>125.5</v>
      </c>
      <c r="W238">
        <v>138.1</v>
      </c>
      <c r="X238">
        <v>141.5</v>
      </c>
      <c r="Y238">
        <v>120.8</v>
      </c>
      <c r="Z238">
        <v>135.4</v>
      </c>
      <c r="AA238">
        <v>151.5</v>
      </c>
      <c r="AB238">
        <v>137.80000000000001</v>
      </c>
      <c r="AC238">
        <v>135.30000000000001</v>
      </c>
      <c r="AD238">
        <v>144.19999999999999</v>
      </c>
    </row>
    <row r="239" spans="1:30" x14ac:dyDescent="0.3">
      <c r="A239" t="s">
        <v>35</v>
      </c>
      <c r="B239">
        <v>2019</v>
      </c>
      <c r="C239" t="s">
        <v>46</v>
      </c>
      <c r="D239">
        <v>140.1</v>
      </c>
      <c r="E239">
        <v>160.6</v>
      </c>
      <c r="F239">
        <v>138.5</v>
      </c>
      <c r="G239">
        <v>144.69999999999999</v>
      </c>
      <c r="H239">
        <v>122.9</v>
      </c>
      <c r="I239">
        <v>149.4</v>
      </c>
      <c r="J239">
        <v>167.4</v>
      </c>
      <c r="K239">
        <v>130.9</v>
      </c>
      <c r="L239">
        <v>112</v>
      </c>
      <c r="M239">
        <v>142.6</v>
      </c>
      <c r="N239">
        <v>134.9</v>
      </c>
      <c r="O239">
        <v>156.6</v>
      </c>
      <c r="P239">
        <v>145.9</v>
      </c>
      <c r="Q239">
        <v>165.8</v>
      </c>
      <c r="R239">
        <v>149.1</v>
      </c>
      <c r="S239">
        <v>140.6</v>
      </c>
      <c r="T239">
        <v>147.9</v>
      </c>
      <c r="U239" t="s">
        <v>122</v>
      </c>
      <c r="V239">
        <v>138.5</v>
      </c>
      <c r="W239">
        <v>144.5</v>
      </c>
      <c r="X239">
        <v>148.5</v>
      </c>
      <c r="Y239">
        <v>125.8</v>
      </c>
      <c r="Z239">
        <v>140.9</v>
      </c>
      <c r="AA239">
        <v>154.9</v>
      </c>
      <c r="AB239">
        <v>138.4</v>
      </c>
      <c r="AC239">
        <v>140.19999999999999</v>
      </c>
      <c r="AD239">
        <v>145</v>
      </c>
    </row>
    <row r="240" spans="1:30" x14ac:dyDescent="0.3">
      <c r="A240" t="s">
        <v>30</v>
      </c>
      <c r="B240">
        <v>2019</v>
      </c>
      <c r="C240" t="s">
        <v>48</v>
      </c>
      <c r="D240">
        <v>140.1</v>
      </c>
      <c r="E240">
        <v>161.9</v>
      </c>
      <c r="F240">
        <v>138.30000000000001</v>
      </c>
      <c r="G240">
        <v>145.69999999999999</v>
      </c>
      <c r="H240">
        <v>125.1</v>
      </c>
      <c r="I240">
        <v>143.80000000000001</v>
      </c>
      <c r="J240">
        <v>163.4</v>
      </c>
      <c r="K240">
        <v>132.19999999999999</v>
      </c>
      <c r="L240">
        <v>112.8</v>
      </c>
      <c r="M240">
        <v>144.19999999999999</v>
      </c>
      <c r="N240">
        <v>138.5</v>
      </c>
      <c r="O240">
        <v>157.19999999999999</v>
      </c>
      <c r="P240">
        <v>145.5</v>
      </c>
      <c r="Q240">
        <v>165.7</v>
      </c>
      <c r="R240">
        <v>151.69999999999999</v>
      </c>
      <c r="S240">
        <v>146.6</v>
      </c>
      <c r="T240">
        <v>151</v>
      </c>
      <c r="U240" t="s">
        <v>32</v>
      </c>
      <c r="V240">
        <v>146.9</v>
      </c>
      <c r="W240">
        <v>150.30000000000001</v>
      </c>
      <c r="X240">
        <v>153.4</v>
      </c>
      <c r="Y240">
        <v>131.6</v>
      </c>
      <c r="Z240">
        <v>148.30000000000001</v>
      </c>
      <c r="AA240">
        <v>160.19999999999999</v>
      </c>
      <c r="AB240">
        <v>140.19999999999999</v>
      </c>
      <c r="AC240">
        <v>145.4</v>
      </c>
      <c r="AD240">
        <v>146.69999999999999</v>
      </c>
    </row>
    <row r="241" spans="1:30" x14ac:dyDescent="0.3">
      <c r="A241" t="s">
        <v>33</v>
      </c>
      <c r="B241">
        <v>2019</v>
      </c>
      <c r="C241" t="s">
        <v>48</v>
      </c>
      <c r="D241">
        <v>142.69999999999999</v>
      </c>
      <c r="E241">
        <v>158.69999999999999</v>
      </c>
      <c r="F241">
        <v>141.6</v>
      </c>
      <c r="G241">
        <v>144.9</v>
      </c>
      <c r="H241">
        <v>120.8</v>
      </c>
      <c r="I241">
        <v>149.80000000000001</v>
      </c>
      <c r="J241">
        <v>192.4</v>
      </c>
      <c r="K241">
        <v>130.30000000000001</v>
      </c>
      <c r="L241">
        <v>114</v>
      </c>
      <c r="M241">
        <v>143.80000000000001</v>
      </c>
      <c r="N241">
        <v>130</v>
      </c>
      <c r="O241">
        <v>156.4</v>
      </c>
      <c r="P241">
        <v>149.5</v>
      </c>
      <c r="Q241">
        <v>168.6</v>
      </c>
      <c r="R241">
        <v>145.30000000000001</v>
      </c>
      <c r="S241">
        <v>132.19999999999999</v>
      </c>
      <c r="T241">
        <v>143.30000000000001</v>
      </c>
      <c r="U241" t="s">
        <v>123</v>
      </c>
      <c r="V241">
        <v>126.6</v>
      </c>
      <c r="W241">
        <v>138.30000000000001</v>
      </c>
      <c r="X241">
        <v>141.9</v>
      </c>
      <c r="Y241">
        <v>121.2</v>
      </c>
      <c r="Z241">
        <v>135.9</v>
      </c>
      <c r="AA241">
        <v>151.6</v>
      </c>
      <c r="AB241">
        <v>139</v>
      </c>
      <c r="AC241">
        <v>135.69999999999999</v>
      </c>
      <c r="AD241">
        <v>144.69999999999999</v>
      </c>
    </row>
    <row r="242" spans="1:30" x14ac:dyDescent="0.3">
      <c r="A242" t="s">
        <v>35</v>
      </c>
      <c r="B242">
        <v>2019</v>
      </c>
      <c r="C242" t="s">
        <v>48</v>
      </c>
      <c r="D242">
        <v>140.9</v>
      </c>
      <c r="E242">
        <v>160.80000000000001</v>
      </c>
      <c r="F242">
        <v>139.6</v>
      </c>
      <c r="G242">
        <v>145.4</v>
      </c>
      <c r="H242">
        <v>123.5</v>
      </c>
      <c r="I242">
        <v>146.6</v>
      </c>
      <c r="J242">
        <v>173.2</v>
      </c>
      <c r="K242">
        <v>131.6</v>
      </c>
      <c r="L242">
        <v>113.2</v>
      </c>
      <c r="M242">
        <v>144.1</v>
      </c>
      <c r="N242">
        <v>135</v>
      </c>
      <c r="O242">
        <v>156.80000000000001</v>
      </c>
      <c r="P242">
        <v>147</v>
      </c>
      <c r="Q242">
        <v>166.5</v>
      </c>
      <c r="R242">
        <v>149.19999999999999</v>
      </c>
      <c r="S242">
        <v>140.6</v>
      </c>
      <c r="T242">
        <v>147.9</v>
      </c>
      <c r="U242" t="s">
        <v>123</v>
      </c>
      <c r="V242">
        <v>139.19999999999999</v>
      </c>
      <c r="W242">
        <v>144.6</v>
      </c>
      <c r="X242">
        <v>149</v>
      </c>
      <c r="Y242">
        <v>126.1</v>
      </c>
      <c r="Z242">
        <v>141.30000000000001</v>
      </c>
      <c r="AA242">
        <v>155.19999999999999</v>
      </c>
      <c r="AB242">
        <v>139.69999999999999</v>
      </c>
      <c r="AC242">
        <v>140.69999999999999</v>
      </c>
      <c r="AD242">
        <v>145.80000000000001</v>
      </c>
    </row>
    <row r="243" spans="1:30" x14ac:dyDescent="0.3">
      <c r="A243" t="s">
        <v>30</v>
      </c>
      <c r="B243">
        <v>2019</v>
      </c>
      <c r="C243" t="s">
        <v>50</v>
      </c>
      <c r="D243">
        <v>141</v>
      </c>
      <c r="E243">
        <v>161.6</v>
      </c>
      <c r="F243">
        <v>141.19999999999999</v>
      </c>
      <c r="G243">
        <v>146.5</v>
      </c>
      <c r="H243">
        <v>125.6</v>
      </c>
      <c r="I243">
        <v>145.69999999999999</v>
      </c>
      <c r="J243">
        <v>178.8</v>
      </c>
      <c r="K243">
        <v>133.1</v>
      </c>
      <c r="L243">
        <v>113.6</v>
      </c>
      <c r="M243">
        <v>145.5</v>
      </c>
      <c r="N243">
        <v>138.6</v>
      </c>
      <c r="O243">
        <v>157.4</v>
      </c>
      <c r="P243">
        <v>148.30000000000001</v>
      </c>
      <c r="Q243">
        <v>166.3</v>
      </c>
      <c r="R243">
        <v>151.69999999999999</v>
      </c>
      <c r="S243">
        <v>146.69999999999999</v>
      </c>
      <c r="T243">
        <v>151</v>
      </c>
      <c r="U243" t="s">
        <v>32</v>
      </c>
      <c r="V243">
        <v>147.69999999999999</v>
      </c>
      <c r="W243">
        <v>150.6</v>
      </c>
      <c r="X243">
        <v>153.69999999999999</v>
      </c>
      <c r="Y243">
        <v>131.69999999999999</v>
      </c>
      <c r="Z243">
        <v>148.69999999999999</v>
      </c>
      <c r="AA243">
        <v>160.69999999999999</v>
      </c>
      <c r="AB243">
        <v>140.30000000000001</v>
      </c>
      <c r="AC243">
        <v>145.69999999999999</v>
      </c>
      <c r="AD243">
        <v>148.30000000000001</v>
      </c>
    </row>
    <row r="244" spans="1:30" x14ac:dyDescent="0.3">
      <c r="A244" t="s">
        <v>33</v>
      </c>
      <c r="B244">
        <v>2019</v>
      </c>
      <c r="C244" t="s">
        <v>50</v>
      </c>
      <c r="D244">
        <v>143.5</v>
      </c>
      <c r="E244">
        <v>159.80000000000001</v>
      </c>
      <c r="F244">
        <v>144.69999999999999</v>
      </c>
      <c r="G244">
        <v>145.6</v>
      </c>
      <c r="H244">
        <v>121.1</v>
      </c>
      <c r="I244">
        <v>150.6</v>
      </c>
      <c r="J244">
        <v>207.2</v>
      </c>
      <c r="K244">
        <v>131.19999999999999</v>
      </c>
      <c r="L244">
        <v>114.8</v>
      </c>
      <c r="M244">
        <v>145.19999999999999</v>
      </c>
      <c r="N244">
        <v>130.19999999999999</v>
      </c>
      <c r="O244">
        <v>156.80000000000001</v>
      </c>
      <c r="P244">
        <v>151.9</v>
      </c>
      <c r="Q244">
        <v>169.3</v>
      </c>
      <c r="R244">
        <v>145.9</v>
      </c>
      <c r="S244">
        <v>132.4</v>
      </c>
      <c r="T244">
        <v>143.9</v>
      </c>
      <c r="U244" t="s">
        <v>124</v>
      </c>
      <c r="V244">
        <v>128.9</v>
      </c>
      <c r="W244">
        <v>138.69999999999999</v>
      </c>
      <c r="X244">
        <v>142.4</v>
      </c>
      <c r="Y244">
        <v>121.5</v>
      </c>
      <c r="Z244">
        <v>136.19999999999999</v>
      </c>
      <c r="AA244">
        <v>151.69999999999999</v>
      </c>
      <c r="AB244">
        <v>139.5</v>
      </c>
      <c r="AC244">
        <v>136</v>
      </c>
      <c r="AD244">
        <v>146</v>
      </c>
    </row>
    <row r="245" spans="1:30" x14ac:dyDescent="0.3">
      <c r="A245" t="s">
        <v>35</v>
      </c>
      <c r="B245">
        <v>2019</v>
      </c>
      <c r="C245" t="s">
        <v>50</v>
      </c>
      <c r="D245">
        <v>141.80000000000001</v>
      </c>
      <c r="E245">
        <v>161</v>
      </c>
      <c r="F245">
        <v>142.6</v>
      </c>
      <c r="G245">
        <v>146.19999999999999</v>
      </c>
      <c r="H245">
        <v>123.9</v>
      </c>
      <c r="I245">
        <v>148</v>
      </c>
      <c r="J245">
        <v>188.4</v>
      </c>
      <c r="K245">
        <v>132.5</v>
      </c>
      <c r="L245">
        <v>114</v>
      </c>
      <c r="M245">
        <v>145.4</v>
      </c>
      <c r="N245">
        <v>135.1</v>
      </c>
      <c r="O245">
        <v>157.1</v>
      </c>
      <c r="P245">
        <v>149.6</v>
      </c>
      <c r="Q245">
        <v>167.1</v>
      </c>
      <c r="R245">
        <v>149.4</v>
      </c>
      <c r="S245">
        <v>140.80000000000001</v>
      </c>
      <c r="T245">
        <v>148.19999999999999</v>
      </c>
      <c r="U245" t="s">
        <v>124</v>
      </c>
      <c r="V245">
        <v>140.6</v>
      </c>
      <c r="W245">
        <v>145</v>
      </c>
      <c r="X245">
        <v>149.4</v>
      </c>
      <c r="Y245">
        <v>126.3</v>
      </c>
      <c r="Z245">
        <v>141.69999999999999</v>
      </c>
      <c r="AA245">
        <v>155.4</v>
      </c>
      <c r="AB245">
        <v>140</v>
      </c>
      <c r="AC245">
        <v>141</v>
      </c>
      <c r="AD245">
        <v>147.19999999999999</v>
      </c>
    </row>
    <row r="246" spans="1:30" x14ac:dyDescent="0.3">
      <c r="A246" t="s">
        <v>30</v>
      </c>
      <c r="B246">
        <v>2019</v>
      </c>
      <c r="C246" t="s">
        <v>53</v>
      </c>
      <c r="D246">
        <v>141.80000000000001</v>
      </c>
      <c r="E246">
        <v>163.69999999999999</v>
      </c>
      <c r="F246">
        <v>143.80000000000001</v>
      </c>
      <c r="G246">
        <v>147.1</v>
      </c>
      <c r="H246">
        <v>126</v>
      </c>
      <c r="I246">
        <v>146.19999999999999</v>
      </c>
      <c r="J246">
        <v>191.4</v>
      </c>
      <c r="K246">
        <v>136.19999999999999</v>
      </c>
      <c r="L246">
        <v>113.8</v>
      </c>
      <c r="M246">
        <v>147.30000000000001</v>
      </c>
      <c r="N246">
        <v>138.69999999999999</v>
      </c>
      <c r="O246">
        <v>157.69999999999999</v>
      </c>
      <c r="P246">
        <v>150.9</v>
      </c>
      <c r="Q246">
        <v>167.2</v>
      </c>
      <c r="R246">
        <v>152.30000000000001</v>
      </c>
      <c r="S246">
        <v>147</v>
      </c>
      <c r="T246">
        <v>151.5</v>
      </c>
      <c r="U246" t="s">
        <v>32</v>
      </c>
      <c r="V246">
        <v>148.4</v>
      </c>
      <c r="W246">
        <v>150.9</v>
      </c>
      <c r="X246">
        <v>154.30000000000001</v>
      </c>
      <c r="Y246">
        <v>132.1</v>
      </c>
      <c r="Z246">
        <v>149.1</v>
      </c>
      <c r="AA246">
        <v>160.80000000000001</v>
      </c>
      <c r="AB246">
        <v>140.6</v>
      </c>
      <c r="AC246">
        <v>146.1</v>
      </c>
      <c r="AD246">
        <v>149.9</v>
      </c>
    </row>
    <row r="247" spans="1:30" x14ac:dyDescent="0.3">
      <c r="A247" t="s">
        <v>33</v>
      </c>
      <c r="B247">
        <v>2019</v>
      </c>
      <c r="C247" t="s">
        <v>53</v>
      </c>
      <c r="D247">
        <v>144.1</v>
      </c>
      <c r="E247">
        <v>162.4</v>
      </c>
      <c r="F247">
        <v>148.4</v>
      </c>
      <c r="G247">
        <v>145.9</v>
      </c>
      <c r="H247">
        <v>121.5</v>
      </c>
      <c r="I247">
        <v>148.80000000000001</v>
      </c>
      <c r="J247">
        <v>215.7</v>
      </c>
      <c r="K247">
        <v>134.6</v>
      </c>
      <c r="L247">
        <v>115</v>
      </c>
      <c r="M247">
        <v>146.30000000000001</v>
      </c>
      <c r="N247">
        <v>130.5</v>
      </c>
      <c r="O247">
        <v>157.19999999999999</v>
      </c>
      <c r="P247">
        <v>153.6</v>
      </c>
      <c r="Q247">
        <v>169.9</v>
      </c>
      <c r="R247">
        <v>146.30000000000001</v>
      </c>
      <c r="S247">
        <v>132.6</v>
      </c>
      <c r="T247">
        <v>144.19999999999999</v>
      </c>
      <c r="U247" t="s">
        <v>125</v>
      </c>
      <c r="V247">
        <v>132.19999999999999</v>
      </c>
      <c r="W247">
        <v>139.1</v>
      </c>
      <c r="X247">
        <v>142.80000000000001</v>
      </c>
      <c r="Y247">
        <v>121.7</v>
      </c>
      <c r="Z247">
        <v>136.69999999999999</v>
      </c>
      <c r="AA247">
        <v>151.80000000000001</v>
      </c>
      <c r="AB247">
        <v>139.80000000000001</v>
      </c>
      <c r="AC247">
        <v>136.30000000000001</v>
      </c>
      <c r="AD247">
        <v>147</v>
      </c>
    </row>
    <row r="248" spans="1:30" x14ac:dyDescent="0.3">
      <c r="A248" t="s">
        <v>35</v>
      </c>
      <c r="B248">
        <v>2019</v>
      </c>
      <c r="C248" t="s">
        <v>53</v>
      </c>
      <c r="D248">
        <v>142.5</v>
      </c>
      <c r="E248">
        <v>163.19999999999999</v>
      </c>
      <c r="F248">
        <v>145.6</v>
      </c>
      <c r="G248">
        <v>146.69999999999999</v>
      </c>
      <c r="H248">
        <v>124.3</v>
      </c>
      <c r="I248">
        <v>147.4</v>
      </c>
      <c r="J248">
        <v>199.6</v>
      </c>
      <c r="K248">
        <v>135.69999999999999</v>
      </c>
      <c r="L248">
        <v>114.2</v>
      </c>
      <c r="M248">
        <v>147</v>
      </c>
      <c r="N248">
        <v>135.30000000000001</v>
      </c>
      <c r="O248">
        <v>157.5</v>
      </c>
      <c r="P248">
        <v>151.9</v>
      </c>
      <c r="Q248">
        <v>167.9</v>
      </c>
      <c r="R248">
        <v>149.9</v>
      </c>
      <c r="S248">
        <v>141</v>
      </c>
      <c r="T248">
        <v>148.6</v>
      </c>
      <c r="U248" t="s">
        <v>125</v>
      </c>
      <c r="V248">
        <v>142.30000000000001</v>
      </c>
      <c r="W248">
        <v>145.30000000000001</v>
      </c>
      <c r="X248">
        <v>149.9</v>
      </c>
      <c r="Y248">
        <v>126.6</v>
      </c>
      <c r="Z248">
        <v>142.1</v>
      </c>
      <c r="AA248">
        <v>155.5</v>
      </c>
      <c r="AB248">
        <v>140.30000000000001</v>
      </c>
      <c r="AC248">
        <v>141.30000000000001</v>
      </c>
      <c r="AD248">
        <v>148.6</v>
      </c>
    </row>
    <row r="249" spans="1:30" x14ac:dyDescent="0.3">
      <c r="A249" t="s">
        <v>30</v>
      </c>
      <c r="B249">
        <v>2019</v>
      </c>
      <c r="C249" t="s">
        <v>55</v>
      </c>
      <c r="D249">
        <v>142.80000000000001</v>
      </c>
      <c r="E249">
        <v>165.3</v>
      </c>
      <c r="F249">
        <v>149.5</v>
      </c>
      <c r="G249">
        <v>148.69999999999999</v>
      </c>
      <c r="H249">
        <v>127.5</v>
      </c>
      <c r="I249">
        <v>144.30000000000001</v>
      </c>
      <c r="J249">
        <v>209.5</v>
      </c>
      <c r="K249">
        <v>138.80000000000001</v>
      </c>
      <c r="L249">
        <v>113.6</v>
      </c>
      <c r="M249">
        <v>149.1</v>
      </c>
      <c r="N249">
        <v>139.30000000000001</v>
      </c>
      <c r="O249">
        <v>158.30000000000001</v>
      </c>
      <c r="P249">
        <v>154.30000000000001</v>
      </c>
      <c r="Q249">
        <v>167.8</v>
      </c>
      <c r="R249">
        <v>152.6</v>
      </c>
      <c r="S249">
        <v>147.30000000000001</v>
      </c>
      <c r="T249">
        <v>151.9</v>
      </c>
      <c r="U249" t="s">
        <v>32</v>
      </c>
      <c r="V249">
        <v>149.9</v>
      </c>
      <c r="W249">
        <v>151.19999999999999</v>
      </c>
      <c r="X249">
        <v>154.80000000000001</v>
      </c>
      <c r="Y249">
        <v>135</v>
      </c>
      <c r="Z249">
        <v>149.5</v>
      </c>
      <c r="AA249">
        <v>161.1</v>
      </c>
      <c r="AB249">
        <v>140.6</v>
      </c>
      <c r="AC249">
        <v>147.1</v>
      </c>
      <c r="AD249">
        <v>152.30000000000001</v>
      </c>
    </row>
    <row r="250" spans="1:30" x14ac:dyDescent="0.3">
      <c r="A250" t="s">
        <v>33</v>
      </c>
      <c r="B250">
        <v>2019</v>
      </c>
      <c r="C250" t="s">
        <v>55</v>
      </c>
      <c r="D250">
        <v>144.9</v>
      </c>
      <c r="E250">
        <v>164.5</v>
      </c>
      <c r="F250">
        <v>153.69999999999999</v>
      </c>
      <c r="G250">
        <v>147.5</v>
      </c>
      <c r="H250">
        <v>122.7</v>
      </c>
      <c r="I250">
        <v>147.19999999999999</v>
      </c>
      <c r="J250">
        <v>231.5</v>
      </c>
      <c r="K250">
        <v>137.19999999999999</v>
      </c>
      <c r="L250">
        <v>114.7</v>
      </c>
      <c r="M250">
        <v>148</v>
      </c>
      <c r="N250">
        <v>130.80000000000001</v>
      </c>
      <c r="O250">
        <v>157.69999999999999</v>
      </c>
      <c r="P250">
        <v>156.30000000000001</v>
      </c>
      <c r="Q250">
        <v>170.4</v>
      </c>
      <c r="R250">
        <v>146.80000000000001</v>
      </c>
      <c r="S250">
        <v>132.80000000000001</v>
      </c>
      <c r="T250">
        <v>144.6</v>
      </c>
      <c r="U250" t="s">
        <v>126</v>
      </c>
      <c r="V250">
        <v>133.6</v>
      </c>
      <c r="W250">
        <v>139.80000000000001</v>
      </c>
      <c r="X250">
        <v>143.19999999999999</v>
      </c>
      <c r="Y250">
        <v>125.2</v>
      </c>
      <c r="Z250">
        <v>136.80000000000001</v>
      </c>
      <c r="AA250">
        <v>151.9</v>
      </c>
      <c r="AB250">
        <v>140.19999999999999</v>
      </c>
      <c r="AC250">
        <v>137.69999999999999</v>
      </c>
      <c r="AD250">
        <v>148.30000000000001</v>
      </c>
    </row>
    <row r="251" spans="1:30" x14ac:dyDescent="0.3">
      <c r="A251" t="s">
        <v>35</v>
      </c>
      <c r="B251">
        <v>2019</v>
      </c>
      <c r="C251" t="s">
        <v>55</v>
      </c>
      <c r="D251">
        <v>143.5</v>
      </c>
      <c r="E251">
        <v>165</v>
      </c>
      <c r="F251">
        <v>151.1</v>
      </c>
      <c r="G251">
        <v>148.30000000000001</v>
      </c>
      <c r="H251">
        <v>125.7</v>
      </c>
      <c r="I251">
        <v>145.69999999999999</v>
      </c>
      <c r="J251">
        <v>217</v>
      </c>
      <c r="K251">
        <v>138.30000000000001</v>
      </c>
      <c r="L251">
        <v>114</v>
      </c>
      <c r="M251">
        <v>148.69999999999999</v>
      </c>
      <c r="N251">
        <v>135.80000000000001</v>
      </c>
      <c r="O251">
        <v>158</v>
      </c>
      <c r="P251">
        <v>155</v>
      </c>
      <c r="Q251">
        <v>168.5</v>
      </c>
      <c r="R251">
        <v>150.30000000000001</v>
      </c>
      <c r="S251">
        <v>141.30000000000001</v>
      </c>
      <c r="T251">
        <v>149</v>
      </c>
      <c r="U251" t="s">
        <v>126</v>
      </c>
      <c r="V251">
        <v>143.69999999999999</v>
      </c>
      <c r="W251">
        <v>145.80000000000001</v>
      </c>
      <c r="X251">
        <v>150.4</v>
      </c>
      <c r="Y251">
        <v>129.80000000000001</v>
      </c>
      <c r="Z251">
        <v>142.30000000000001</v>
      </c>
      <c r="AA251">
        <v>155.69999999999999</v>
      </c>
      <c r="AB251">
        <v>140.4</v>
      </c>
      <c r="AC251">
        <v>142.5</v>
      </c>
      <c r="AD251">
        <v>150.4</v>
      </c>
    </row>
    <row r="252" spans="1:30" x14ac:dyDescent="0.3">
      <c r="A252" t="s">
        <v>30</v>
      </c>
      <c r="B252">
        <v>2020</v>
      </c>
      <c r="C252" t="s">
        <v>31</v>
      </c>
      <c r="D252">
        <v>143.69999999999999</v>
      </c>
      <c r="E252">
        <v>167.3</v>
      </c>
      <c r="F252">
        <v>153.5</v>
      </c>
      <c r="G252">
        <v>150.5</v>
      </c>
      <c r="H252">
        <v>132</v>
      </c>
      <c r="I252">
        <v>142.19999999999999</v>
      </c>
      <c r="J252">
        <v>191.5</v>
      </c>
      <c r="K252">
        <v>141.1</v>
      </c>
      <c r="L252">
        <v>113.8</v>
      </c>
      <c r="M252">
        <v>151.6</v>
      </c>
      <c r="N252">
        <v>139.69999999999999</v>
      </c>
      <c r="O252">
        <v>158.69999999999999</v>
      </c>
      <c r="P252">
        <v>153</v>
      </c>
      <c r="Q252">
        <v>168.6</v>
      </c>
      <c r="R252">
        <v>152.80000000000001</v>
      </c>
      <c r="S252">
        <v>147.4</v>
      </c>
      <c r="T252">
        <v>152.1</v>
      </c>
      <c r="U252" t="s">
        <v>32</v>
      </c>
      <c r="V252">
        <v>150.4</v>
      </c>
      <c r="W252">
        <v>151.69999999999999</v>
      </c>
      <c r="X252">
        <v>155.69999999999999</v>
      </c>
      <c r="Y252">
        <v>136.30000000000001</v>
      </c>
      <c r="Z252">
        <v>150.1</v>
      </c>
      <c r="AA252">
        <v>161.69999999999999</v>
      </c>
      <c r="AB252">
        <v>142.5</v>
      </c>
      <c r="AC252">
        <v>148.1</v>
      </c>
      <c r="AD252">
        <v>151.9</v>
      </c>
    </row>
    <row r="253" spans="1:30" x14ac:dyDescent="0.3">
      <c r="A253" t="s">
        <v>33</v>
      </c>
      <c r="B253">
        <v>2020</v>
      </c>
      <c r="C253" t="s">
        <v>31</v>
      </c>
      <c r="D253">
        <v>145.6</v>
      </c>
      <c r="E253">
        <v>167.6</v>
      </c>
      <c r="F253">
        <v>157</v>
      </c>
      <c r="G253">
        <v>149.30000000000001</v>
      </c>
      <c r="H253">
        <v>126.3</v>
      </c>
      <c r="I253">
        <v>144.4</v>
      </c>
      <c r="J253">
        <v>207.8</v>
      </c>
      <c r="K253">
        <v>139.1</v>
      </c>
      <c r="L253">
        <v>114.8</v>
      </c>
      <c r="M253">
        <v>149.5</v>
      </c>
      <c r="N253">
        <v>131.1</v>
      </c>
      <c r="O253">
        <v>158.5</v>
      </c>
      <c r="P253">
        <v>154.4</v>
      </c>
      <c r="Q253">
        <v>170.8</v>
      </c>
      <c r="R253">
        <v>147</v>
      </c>
      <c r="S253">
        <v>133.19999999999999</v>
      </c>
      <c r="T253">
        <v>144.9</v>
      </c>
      <c r="U253" t="s">
        <v>127</v>
      </c>
      <c r="V253">
        <v>135.1</v>
      </c>
      <c r="W253">
        <v>140.1</v>
      </c>
      <c r="X253">
        <v>143.80000000000001</v>
      </c>
      <c r="Y253">
        <v>126.1</v>
      </c>
      <c r="Z253">
        <v>137.19999999999999</v>
      </c>
      <c r="AA253">
        <v>152.1</v>
      </c>
      <c r="AB253">
        <v>142.1</v>
      </c>
      <c r="AC253">
        <v>138.4</v>
      </c>
      <c r="AD253">
        <v>148.19999999999999</v>
      </c>
    </row>
    <row r="254" spans="1:30" x14ac:dyDescent="0.3">
      <c r="A254" t="s">
        <v>35</v>
      </c>
      <c r="B254">
        <v>2020</v>
      </c>
      <c r="C254" t="s">
        <v>31</v>
      </c>
      <c r="D254">
        <v>144.30000000000001</v>
      </c>
      <c r="E254">
        <v>167.4</v>
      </c>
      <c r="F254">
        <v>154.9</v>
      </c>
      <c r="G254">
        <v>150.1</v>
      </c>
      <c r="H254">
        <v>129.9</v>
      </c>
      <c r="I254">
        <v>143.19999999999999</v>
      </c>
      <c r="J254">
        <v>197</v>
      </c>
      <c r="K254">
        <v>140.4</v>
      </c>
      <c r="L254">
        <v>114.1</v>
      </c>
      <c r="M254">
        <v>150.9</v>
      </c>
      <c r="N254">
        <v>136.1</v>
      </c>
      <c r="O254">
        <v>158.6</v>
      </c>
      <c r="P254">
        <v>153.5</v>
      </c>
      <c r="Q254">
        <v>169.2</v>
      </c>
      <c r="R254">
        <v>150.5</v>
      </c>
      <c r="S254">
        <v>141.5</v>
      </c>
      <c r="T254">
        <v>149.19999999999999</v>
      </c>
      <c r="U254" t="s">
        <v>127</v>
      </c>
      <c r="V254">
        <v>144.6</v>
      </c>
      <c r="W254">
        <v>146.19999999999999</v>
      </c>
      <c r="X254">
        <v>151.19999999999999</v>
      </c>
      <c r="Y254">
        <v>130.9</v>
      </c>
      <c r="Z254">
        <v>142.80000000000001</v>
      </c>
      <c r="AA254">
        <v>156.1</v>
      </c>
      <c r="AB254">
        <v>142.30000000000001</v>
      </c>
      <c r="AC254">
        <v>143.4</v>
      </c>
      <c r="AD254">
        <v>150.19999999999999</v>
      </c>
    </row>
    <row r="255" spans="1:30" x14ac:dyDescent="0.3">
      <c r="A255" t="s">
        <v>30</v>
      </c>
      <c r="B255">
        <v>2020</v>
      </c>
      <c r="C255" t="s">
        <v>36</v>
      </c>
      <c r="D255">
        <v>144.19999999999999</v>
      </c>
      <c r="E255">
        <v>167.5</v>
      </c>
      <c r="F255">
        <v>150.9</v>
      </c>
      <c r="G255">
        <v>150.9</v>
      </c>
      <c r="H255">
        <v>133.69999999999999</v>
      </c>
      <c r="I255">
        <v>140.69999999999999</v>
      </c>
      <c r="J255">
        <v>165.1</v>
      </c>
      <c r="K255">
        <v>141.80000000000001</v>
      </c>
      <c r="L255">
        <v>113.1</v>
      </c>
      <c r="M255">
        <v>152.80000000000001</v>
      </c>
      <c r="N255">
        <v>140.1</v>
      </c>
      <c r="O255">
        <v>159.19999999999999</v>
      </c>
      <c r="P255">
        <v>149.80000000000001</v>
      </c>
      <c r="Q255">
        <v>169.4</v>
      </c>
      <c r="R255">
        <v>153</v>
      </c>
      <c r="S255">
        <v>147.5</v>
      </c>
      <c r="T255">
        <v>152.30000000000001</v>
      </c>
      <c r="U255" t="s">
        <v>32</v>
      </c>
      <c r="V255">
        <v>152.30000000000001</v>
      </c>
      <c r="W255">
        <v>151.80000000000001</v>
      </c>
      <c r="X255">
        <v>156.19999999999999</v>
      </c>
      <c r="Y255">
        <v>136</v>
      </c>
      <c r="Z255">
        <v>150.4</v>
      </c>
      <c r="AA255">
        <v>161.9</v>
      </c>
      <c r="AB255">
        <v>143.4</v>
      </c>
      <c r="AC255">
        <v>148.4</v>
      </c>
      <c r="AD255">
        <v>150.4</v>
      </c>
    </row>
    <row r="256" spans="1:30" x14ac:dyDescent="0.3">
      <c r="A256" t="s">
        <v>33</v>
      </c>
      <c r="B256">
        <v>2020</v>
      </c>
      <c r="C256" t="s">
        <v>36</v>
      </c>
      <c r="D256">
        <v>146.19999999999999</v>
      </c>
      <c r="E256">
        <v>167.6</v>
      </c>
      <c r="F256">
        <v>153.1</v>
      </c>
      <c r="G256">
        <v>150.69999999999999</v>
      </c>
      <c r="H256">
        <v>127.4</v>
      </c>
      <c r="I256">
        <v>143.1</v>
      </c>
      <c r="J256">
        <v>181.7</v>
      </c>
      <c r="K256">
        <v>139.6</v>
      </c>
      <c r="L256">
        <v>114.6</v>
      </c>
      <c r="M256">
        <v>150.4</v>
      </c>
      <c r="N256">
        <v>131.5</v>
      </c>
      <c r="O256">
        <v>159</v>
      </c>
      <c r="P256">
        <v>151.69999999999999</v>
      </c>
      <c r="Q256">
        <v>172</v>
      </c>
      <c r="R256">
        <v>147.30000000000001</v>
      </c>
      <c r="S256">
        <v>133.5</v>
      </c>
      <c r="T256">
        <v>145.19999999999999</v>
      </c>
      <c r="U256" t="s">
        <v>128</v>
      </c>
      <c r="V256">
        <v>138.9</v>
      </c>
      <c r="W256">
        <v>140.4</v>
      </c>
      <c r="X256">
        <v>144.4</v>
      </c>
      <c r="Y256">
        <v>125.2</v>
      </c>
      <c r="Z256">
        <v>137.69999999999999</v>
      </c>
      <c r="AA256">
        <v>152.19999999999999</v>
      </c>
      <c r="AB256">
        <v>143.5</v>
      </c>
      <c r="AC256">
        <v>138.4</v>
      </c>
      <c r="AD256">
        <v>147.69999999999999</v>
      </c>
    </row>
    <row r="257" spans="1:30" x14ac:dyDescent="0.3">
      <c r="A257" t="s">
        <v>35</v>
      </c>
      <c r="B257">
        <v>2020</v>
      </c>
      <c r="C257" t="s">
        <v>36</v>
      </c>
      <c r="D257">
        <v>144.80000000000001</v>
      </c>
      <c r="E257">
        <v>167.5</v>
      </c>
      <c r="F257">
        <v>151.80000000000001</v>
      </c>
      <c r="G257">
        <v>150.80000000000001</v>
      </c>
      <c r="H257">
        <v>131.4</v>
      </c>
      <c r="I257">
        <v>141.80000000000001</v>
      </c>
      <c r="J257">
        <v>170.7</v>
      </c>
      <c r="K257">
        <v>141.1</v>
      </c>
      <c r="L257">
        <v>113.6</v>
      </c>
      <c r="M257">
        <v>152</v>
      </c>
      <c r="N257">
        <v>136.5</v>
      </c>
      <c r="O257">
        <v>159.1</v>
      </c>
      <c r="P257">
        <v>150.5</v>
      </c>
      <c r="Q257">
        <v>170.1</v>
      </c>
      <c r="R257">
        <v>150.80000000000001</v>
      </c>
      <c r="S257">
        <v>141.69999999999999</v>
      </c>
      <c r="T257">
        <v>149.5</v>
      </c>
      <c r="U257" t="s">
        <v>128</v>
      </c>
      <c r="V257">
        <v>147.19999999999999</v>
      </c>
      <c r="W257">
        <v>146.4</v>
      </c>
      <c r="X257">
        <v>151.69999999999999</v>
      </c>
      <c r="Y257">
        <v>130.30000000000001</v>
      </c>
      <c r="Z257">
        <v>143.19999999999999</v>
      </c>
      <c r="AA257">
        <v>156.19999999999999</v>
      </c>
      <c r="AB257">
        <v>143.4</v>
      </c>
      <c r="AC257">
        <v>143.6</v>
      </c>
      <c r="AD257">
        <v>149.1</v>
      </c>
    </row>
    <row r="258" spans="1:30" x14ac:dyDescent="0.3">
      <c r="A258" t="s">
        <v>30</v>
      </c>
      <c r="B258">
        <v>2020</v>
      </c>
      <c r="C258" t="s">
        <v>38</v>
      </c>
      <c r="D258">
        <v>144.4</v>
      </c>
      <c r="E258">
        <v>166.8</v>
      </c>
      <c r="F258">
        <v>147.6</v>
      </c>
      <c r="G258">
        <v>151.69999999999999</v>
      </c>
      <c r="H258">
        <v>133.30000000000001</v>
      </c>
      <c r="I258">
        <v>141.80000000000001</v>
      </c>
      <c r="J258">
        <v>152.30000000000001</v>
      </c>
      <c r="K258">
        <v>141.80000000000001</v>
      </c>
      <c r="L258">
        <v>112.6</v>
      </c>
      <c r="M258">
        <v>154</v>
      </c>
      <c r="N258">
        <v>140.1</v>
      </c>
      <c r="O258">
        <v>160</v>
      </c>
      <c r="P258">
        <v>148.19999999999999</v>
      </c>
      <c r="Q258">
        <v>170.5</v>
      </c>
      <c r="R258">
        <v>153.4</v>
      </c>
      <c r="S258">
        <v>147.6</v>
      </c>
      <c r="T258">
        <v>152.5</v>
      </c>
      <c r="U258" t="s">
        <v>32</v>
      </c>
      <c r="V258">
        <v>153.4</v>
      </c>
      <c r="W258">
        <v>151.5</v>
      </c>
      <c r="X258">
        <v>156.69999999999999</v>
      </c>
      <c r="Y258">
        <v>135.80000000000001</v>
      </c>
      <c r="Z258">
        <v>151.19999999999999</v>
      </c>
      <c r="AA258">
        <v>161.19999999999999</v>
      </c>
      <c r="AB258">
        <v>145.1</v>
      </c>
      <c r="AC258">
        <v>148.6</v>
      </c>
      <c r="AD258">
        <v>149.80000000000001</v>
      </c>
    </row>
    <row r="259" spans="1:30" x14ac:dyDescent="0.3">
      <c r="A259" t="s">
        <v>33</v>
      </c>
      <c r="B259">
        <v>2020</v>
      </c>
      <c r="C259" t="s">
        <v>38</v>
      </c>
      <c r="D259">
        <v>146.5</v>
      </c>
      <c r="E259">
        <v>167.5</v>
      </c>
      <c r="F259">
        <v>148.9</v>
      </c>
      <c r="G259">
        <v>151.1</v>
      </c>
      <c r="H259">
        <v>127.5</v>
      </c>
      <c r="I259">
        <v>143.30000000000001</v>
      </c>
      <c r="J259">
        <v>167</v>
      </c>
      <c r="K259">
        <v>139.69999999999999</v>
      </c>
      <c r="L259">
        <v>114.4</v>
      </c>
      <c r="M259">
        <v>151.5</v>
      </c>
      <c r="N259">
        <v>131.9</v>
      </c>
      <c r="O259">
        <v>159.1</v>
      </c>
      <c r="P259">
        <v>150.1</v>
      </c>
      <c r="Q259">
        <v>173.3</v>
      </c>
      <c r="R259">
        <v>147.69999999999999</v>
      </c>
      <c r="S259">
        <v>133.80000000000001</v>
      </c>
      <c r="T259">
        <v>145.6</v>
      </c>
      <c r="U259" t="s">
        <v>129</v>
      </c>
      <c r="V259">
        <v>141.4</v>
      </c>
      <c r="W259">
        <v>140.80000000000001</v>
      </c>
      <c r="X259">
        <v>145</v>
      </c>
      <c r="Y259">
        <v>124.6</v>
      </c>
      <c r="Z259">
        <v>137.9</v>
      </c>
      <c r="AA259">
        <v>152.5</v>
      </c>
      <c r="AB259">
        <v>145.30000000000001</v>
      </c>
      <c r="AC259">
        <v>138.69999999999999</v>
      </c>
      <c r="AD259">
        <v>147.30000000000001</v>
      </c>
    </row>
    <row r="260" spans="1:30" x14ac:dyDescent="0.3">
      <c r="A260" t="s">
        <v>35</v>
      </c>
      <c r="B260">
        <v>2020</v>
      </c>
      <c r="C260" t="s">
        <v>38</v>
      </c>
      <c r="D260">
        <v>145.1</v>
      </c>
      <c r="E260">
        <v>167</v>
      </c>
      <c r="F260">
        <v>148.1</v>
      </c>
      <c r="G260">
        <v>151.5</v>
      </c>
      <c r="H260">
        <v>131.19999999999999</v>
      </c>
      <c r="I260">
        <v>142.5</v>
      </c>
      <c r="J260">
        <v>157.30000000000001</v>
      </c>
      <c r="K260">
        <v>141.1</v>
      </c>
      <c r="L260">
        <v>113.2</v>
      </c>
      <c r="M260">
        <v>153.19999999999999</v>
      </c>
      <c r="N260">
        <v>136.69999999999999</v>
      </c>
      <c r="O260">
        <v>159.6</v>
      </c>
      <c r="P260">
        <v>148.9</v>
      </c>
      <c r="Q260">
        <v>171.2</v>
      </c>
      <c r="R260">
        <v>151.19999999999999</v>
      </c>
      <c r="S260">
        <v>141.9</v>
      </c>
      <c r="T260">
        <v>149.80000000000001</v>
      </c>
      <c r="U260" t="s">
        <v>129</v>
      </c>
      <c r="V260">
        <v>148.9</v>
      </c>
      <c r="W260">
        <v>146.4</v>
      </c>
      <c r="X260">
        <v>152.30000000000001</v>
      </c>
      <c r="Y260">
        <v>129.9</v>
      </c>
      <c r="Z260">
        <v>143.69999999999999</v>
      </c>
      <c r="AA260">
        <v>156.1</v>
      </c>
      <c r="AB260">
        <v>145.19999999999999</v>
      </c>
      <c r="AC260">
        <v>143.80000000000001</v>
      </c>
      <c r="AD260">
        <v>148.6</v>
      </c>
    </row>
    <row r="261" spans="1:30" x14ac:dyDescent="0.3">
      <c r="A261" t="s">
        <v>30</v>
      </c>
      <c r="B261">
        <v>2020</v>
      </c>
      <c r="C261" t="s">
        <v>39</v>
      </c>
      <c r="D261">
        <v>147.19999999999999</v>
      </c>
      <c r="F261">
        <v>146.9</v>
      </c>
      <c r="G261">
        <v>155.6</v>
      </c>
      <c r="H261">
        <v>137.1</v>
      </c>
      <c r="I261">
        <v>147.30000000000001</v>
      </c>
      <c r="J261">
        <v>162.69999999999999</v>
      </c>
      <c r="K261">
        <v>150.19999999999999</v>
      </c>
      <c r="L261">
        <v>119.8</v>
      </c>
      <c r="M261">
        <v>158.69999999999999</v>
      </c>
      <c r="N261">
        <v>139.19999999999999</v>
      </c>
      <c r="P261">
        <v>150.1</v>
      </c>
      <c r="U261" t="s">
        <v>32</v>
      </c>
      <c r="V261">
        <v>148.4</v>
      </c>
      <c r="X261">
        <v>154.30000000000001</v>
      </c>
    </row>
    <row r="262" spans="1:30" x14ac:dyDescent="0.3">
      <c r="A262" t="s">
        <v>33</v>
      </c>
      <c r="B262">
        <v>2020</v>
      </c>
      <c r="C262" t="s">
        <v>39</v>
      </c>
      <c r="D262">
        <v>151.80000000000001</v>
      </c>
      <c r="F262">
        <v>151.9</v>
      </c>
      <c r="G262">
        <v>155.5</v>
      </c>
      <c r="H262">
        <v>131.6</v>
      </c>
      <c r="I262">
        <v>152.9</v>
      </c>
      <c r="J262">
        <v>180</v>
      </c>
      <c r="K262">
        <v>150.80000000000001</v>
      </c>
      <c r="L262">
        <v>121.2</v>
      </c>
      <c r="M262">
        <v>154</v>
      </c>
      <c r="N262">
        <v>133.5</v>
      </c>
      <c r="P262">
        <v>153.5</v>
      </c>
      <c r="U262" t="s">
        <v>130</v>
      </c>
      <c r="V262">
        <v>137.1</v>
      </c>
      <c r="X262">
        <v>144.80000000000001</v>
      </c>
    </row>
    <row r="263" spans="1:30" x14ac:dyDescent="0.3">
      <c r="A263" t="s">
        <v>35</v>
      </c>
      <c r="B263">
        <v>2020</v>
      </c>
      <c r="C263" t="s">
        <v>39</v>
      </c>
      <c r="D263">
        <v>148.69999999999999</v>
      </c>
      <c r="F263">
        <v>148.80000000000001</v>
      </c>
      <c r="G263">
        <v>155.6</v>
      </c>
      <c r="H263">
        <v>135.1</v>
      </c>
      <c r="I263">
        <v>149.9</v>
      </c>
      <c r="J263">
        <v>168.6</v>
      </c>
      <c r="K263">
        <v>150.4</v>
      </c>
      <c r="L263">
        <v>120.3</v>
      </c>
      <c r="M263">
        <v>157.1</v>
      </c>
      <c r="N263">
        <v>136.80000000000001</v>
      </c>
      <c r="P263">
        <v>151.4</v>
      </c>
      <c r="U263" t="s">
        <v>130</v>
      </c>
      <c r="V263">
        <v>144.1</v>
      </c>
      <c r="X263">
        <v>150.69999999999999</v>
      </c>
    </row>
    <row r="264" spans="1:30" x14ac:dyDescent="0.3">
      <c r="A264" t="s">
        <v>30</v>
      </c>
      <c r="B264">
        <v>2020</v>
      </c>
      <c r="C264" t="s">
        <v>41</v>
      </c>
      <c r="U264" t="s">
        <v>32</v>
      </c>
    </row>
    <row r="265" spans="1:30" x14ac:dyDescent="0.3">
      <c r="A265" t="s">
        <v>33</v>
      </c>
      <c r="B265">
        <v>2020</v>
      </c>
      <c r="C265" t="s">
        <v>41</v>
      </c>
      <c r="U265" t="s">
        <v>32</v>
      </c>
    </row>
    <row r="266" spans="1:30" x14ac:dyDescent="0.3">
      <c r="A266" t="s">
        <v>35</v>
      </c>
      <c r="B266">
        <v>2020</v>
      </c>
      <c r="C266" t="s">
        <v>41</v>
      </c>
      <c r="U266" t="s">
        <v>32</v>
      </c>
    </row>
    <row r="267" spans="1:30" x14ac:dyDescent="0.3">
      <c r="A267" t="s">
        <v>30</v>
      </c>
      <c r="B267">
        <v>2020</v>
      </c>
      <c r="C267" t="s">
        <v>42</v>
      </c>
      <c r="D267">
        <v>148.19999999999999</v>
      </c>
      <c r="E267">
        <v>190.3</v>
      </c>
      <c r="F267">
        <v>149.4</v>
      </c>
      <c r="G267">
        <v>153.30000000000001</v>
      </c>
      <c r="H267">
        <v>138.19999999999999</v>
      </c>
      <c r="I267">
        <v>143.19999999999999</v>
      </c>
      <c r="J267">
        <v>148.9</v>
      </c>
      <c r="K267">
        <v>150.30000000000001</v>
      </c>
      <c r="L267">
        <v>113.2</v>
      </c>
      <c r="M267">
        <v>159.80000000000001</v>
      </c>
      <c r="N267">
        <v>142.1</v>
      </c>
      <c r="O267">
        <v>161.80000000000001</v>
      </c>
      <c r="P267">
        <v>152.30000000000001</v>
      </c>
      <c r="Q267">
        <v>182.4</v>
      </c>
      <c r="R267">
        <v>154.69999999999999</v>
      </c>
      <c r="S267">
        <v>150</v>
      </c>
      <c r="T267">
        <v>154.1</v>
      </c>
      <c r="U267" t="s">
        <v>32</v>
      </c>
      <c r="V267">
        <v>144.9</v>
      </c>
      <c r="W267">
        <v>151.69999999999999</v>
      </c>
      <c r="X267">
        <v>158.19999999999999</v>
      </c>
      <c r="Y267">
        <v>141.4</v>
      </c>
      <c r="Z267">
        <v>153.19999999999999</v>
      </c>
      <c r="AA267">
        <v>161.80000000000001</v>
      </c>
      <c r="AB267">
        <v>151.19999999999999</v>
      </c>
      <c r="AC267">
        <v>151.69999999999999</v>
      </c>
      <c r="AD267">
        <v>152.69999999999999</v>
      </c>
    </row>
    <row r="268" spans="1:30" x14ac:dyDescent="0.3">
      <c r="A268" t="s">
        <v>33</v>
      </c>
      <c r="B268">
        <v>2020</v>
      </c>
      <c r="C268" t="s">
        <v>42</v>
      </c>
      <c r="D268">
        <v>152.69999999999999</v>
      </c>
      <c r="E268">
        <v>197</v>
      </c>
      <c r="F268">
        <v>154.6</v>
      </c>
      <c r="G268">
        <v>153.4</v>
      </c>
      <c r="H268">
        <v>132.9</v>
      </c>
      <c r="I268">
        <v>151.80000000000001</v>
      </c>
      <c r="J268">
        <v>171.2</v>
      </c>
      <c r="K268">
        <v>152</v>
      </c>
      <c r="L268">
        <v>116.3</v>
      </c>
      <c r="M268">
        <v>158.80000000000001</v>
      </c>
      <c r="N268">
        <v>135.6</v>
      </c>
      <c r="O268">
        <v>161.69999999999999</v>
      </c>
      <c r="P268">
        <v>157</v>
      </c>
      <c r="Q268">
        <v>186.7</v>
      </c>
      <c r="R268">
        <v>149.1</v>
      </c>
      <c r="S268">
        <v>136.6</v>
      </c>
      <c r="T268">
        <v>147.19999999999999</v>
      </c>
      <c r="U268" t="s">
        <v>131</v>
      </c>
      <c r="V268">
        <v>137.1</v>
      </c>
      <c r="W268">
        <v>140.4</v>
      </c>
      <c r="X268">
        <v>148.1</v>
      </c>
      <c r="Y268">
        <v>129.30000000000001</v>
      </c>
      <c r="Z268">
        <v>144.5</v>
      </c>
      <c r="AA268">
        <v>152.5</v>
      </c>
      <c r="AB268">
        <v>152.19999999999999</v>
      </c>
      <c r="AC268">
        <v>142</v>
      </c>
      <c r="AD268">
        <v>150.80000000000001</v>
      </c>
    </row>
    <row r="269" spans="1:30" x14ac:dyDescent="0.3">
      <c r="A269" t="s">
        <v>35</v>
      </c>
      <c r="B269">
        <v>2020</v>
      </c>
      <c r="C269" t="s">
        <v>42</v>
      </c>
      <c r="D269">
        <v>149.6</v>
      </c>
      <c r="E269">
        <v>192.7</v>
      </c>
      <c r="F269">
        <v>151.4</v>
      </c>
      <c r="G269">
        <v>153.30000000000001</v>
      </c>
      <c r="H269">
        <v>136.30000000000001</v>
      </c>
      <c r="I269">
        <v>147.19999999999999</v>
      </c>
      <c r="J269">
        <v>156.5</v>
      </c>
      <c r="K269">
        <v>150.9</v>
      </c>
      <c r="L269">
        <v>114.2</v>
      </c>
      <c r="M269">
        <v>159.5</v>
      </c>
      <c r="N269">
        <v>139.4</v>
      </c>
      <c r="O269">
        <v>161.80000000000001</v>
      </c>
      <c r="P269">
        <v>154</v>
      </c>
      <c r="Q269">
        <v>183.5</v>
      </c>
      <c r="R269">
        <v>152.5</v>
      </c>
      <c r="S269">
        <v>144.4</v>
      </c>
      <c r="T269">
        <v>151.4</v>
      </c>
      <c r="U269" t="s">
        <v>131</v>
      </c>
      <c r="V269">
        <v>141.9</v>
      </c>
      <c r="W269">
        <v>146.4</v>
      </c>
      <c r="X269">
        <v>154.4</v>
      </c>
      <c r="Y269">
        <v>135</v>
      </c>
      <c r="Z269">
        <v>148.30000000000001</v>
      </c>
      <c r="AA269">
        <v>156.4</v>
      </c>
      <c r="AB269">
        <v>151.6</v>
      </c>
      <c r="AC269">
        <v>147</v>
      </c>
      <c r="AD269">
        <v>151.80000000000001</v>
      </c>
    </row>
    <row r="270" spans="1:30" x14ac:dyDescent="0.3">
      <c r="A270" t="s">
        <v>30</v>
      </c>
      <c r="B270">
        <v>2020</v>
      </c>
      <c r="C270" t="s">
        <v>44</v>
      </c>
      <c r="D270">
        <v>148.19999999999999</v>
      </c>
      <c r="E270">
        <v>190.3</v>
      </c>
      <c r="F270">
        <v>149.4</v>
      </c>
      <c r="G270">
        <v>153.30000000000001</v>
      </c>
      <c r="H270">
        <v>138.19999999999999</v>
      </c>
      <c r="I270">
        <v>143.19999999999999</v>
      </c>
      <c r="J270">
        <v>148.9</v>
      </c>
      <c r="K270">
        <v>150.30000000000001</v>
      </c>
      <c r="L270">
        <v>113.2</v>
      </c>
      <c r="M270">
        <v>159.80000000000001</v>
      </c>
      <c r="N270">
        <v>142.1</v>
      </c>
      <c r="O270">
        <v>161.80000000000001</v>
      </c>
      <c r="P270">
        <v>152.30000000000001</v>
      </c>
      <c r="Q270">
        <v>182.4</v>
      </c>
      <c r="R270">
        <v>154.69999999999999</v>
      </c>
      <c r="S270">
        <v>150</v>
      </c>
      <c r="T270">
        <v>154.1</v>
      </c>
      <c r="U270" t="s">
        <v>32</v>
      </c>
      <c r="V270">
        <v>144.9</v>
      </c>
      <c r="W270">
        <v>151.69999999999999</v>
      </c>
      <c r="X270">
        <v>158.19999999999999</v>
      </c>
      <c r="Y270">
        <v>141.4</v>
      </c>
      <c r="Z270">
        <v>153.19999999999999</v>
      </c>
      <c r="AA270">
        <v>161.80000000000001</v>
      </c>
      <c r="AB270">
        <v>151.19999999999999</v>
      </c>
      <c r="AC270">
        <v>151.69999999999999</v>
      </c>
      <c r="AD270">
        <v>152.69999999999999</v>
      </c>
    </row>
    <row r="271" spans="1:30" x14ac:dyDescent="0.3">
      <c r="A271" t="s">
        <v>33</v>
      </c>
      <c r="B271">
        <v>2020</v>
      </c>
      <c r="C271" t="s">
        <v>44</v>
      </c>
      <c r="D271">
        <v>152.69999999999999</v>
      </c>
      <c r="E271">
        <v>197</v>
      </c>
      <c r="F271">
        <v>154.6</v>
      </c>
      <c r="G271">
        <v>153.4</v>
      </c>
      <c r="H271">
        <v>132.9</v>
      </c>
      <c r="I271">
        <v>151.80000000000001</v>
      </c>
      <c r="J271">
        <v>171.2</v>
      </c>
      <c r="K271">
        <v>152</v>
      </c>
      <c r="L271">
        <v>116.3</v>
      </c>
      <c r="M271">
        <v>158.80000000000001</v>
      </c>
      <c r="N271">
        <v>135.6</v>
      </c>
      <c r="O271">
        <v>161.69999999999999</v>
      </c>
      <c r="P271">
        <v>157</v>
      </c>
      <c r="Q271">
        <v>186.7</v>
      </c>
      <c r="R271">
        <v>149.1</v>
      </c>
      <c r="S271">
        <v>136.6</v>
      </c>
      <c r="T271">
        <v>147.19999999999999</v>
      </c>
      <c r="U271" t="s">
        <v>131</v>
      </c>
      <c r="V271">
        <v>137.1</v>
      </c>
      <c r="W271">
        <v>140.4</v>
      </c>
      <c r="X271">
        <v>148.1</v>
      </c>
      <c r="Y271">
        <v>129.30000000000001</v>
      </c>
      <c r="Z271">
        <v>144.5</v>
      </c>
      <c r="AA271">
        <v>152.5</v>
      </c>
      <c r="AB271">
        <v>152.19999999999999</v>
      </c>
      <c r="AC271">
        <v>142</v>
      </c>
      <c r="AD271">
        <v>150.80000000000001</v>
      </c>
    </row>
    <row r="272" spans="1:30" x14ac:dyDescent="0.3">
      <c r="A272" t="s">
        <v>35</v>
      </c>
      <c r="B272">
        <v>2020</v>
      </c>
      <c r="C272" t="s">
        <v>44</v>
      </c>
      <c r="D272">
        <v>149.6</v>
      </c>
      <c r="E272">
        <v>192.7</v>
      </c>
      <c r="F272">
        <v>151.4</v>
      </c>
      <c r="G272">
        <v>153.30000000000001</v>
      </c>
      <c r="H272">
        <v>136.30000000000001</v>
      </c>
      <c r="I272">
        <v>147.19999999999999</v>
      </c>
      <c r="J272">
        <v>156.5</v>
      </c>
      <c r="K272">
        <v>150.9</v>
      </c>
      <c r="L272">
        <v>114.2</v>
      </c>
      <c r="M272">
        <v>159.5</v>
      </c>
      <c r="N272">
        <v>139.4</v>
      </c>
      <c r="O272">
        <v>161.80000000000001</v>
      </c>
      <c r="P272">
        <v>154</v>
      </c>
      <c r="Q272">
        <v>183.5</v>
      </c>
      <c r="R272">
        <v>152.5</v>
      </c>
      <c r="S272">
        <v>144.4</v>
      </c>
      <c r="T272">
        <v>151.4</v>
      </c>
      <c r="U272" t="s">
        <v>131</v>
      </c>
      <c r="V272">
        <v>141.9</v>
      </c>
      <c r="W272">
        <v>146.4</v>
      </c>
      <c r="X272">
        <v>154.4</v>
      </c>
      <c r="Y272">
        <v>135</v>
      </c>
      <c r="Z272">
        <v>148.30000000000001</v>
      </c>
      <c r="AA272">
        <v>156.4</v>
      </c>
      <c r="AB272">
        <v>151.6</v>
      </c>
      <c r="AC272">
        <v>147</v>
      </c>
      <c r="AD272">
        <v>151.80000000000001</v>
      </c>
    </row>
    <row r="273" spans="1:30" x14ac:dyDescent="0.3">
      <c r="A273" t="s">
        <v>30</v>
      </c>
      <c r="B273">
        <v>2020</v>
      </c>
      <c r="C273" t="s">
        <v>46</v>
      </c>
      <c r="D273">
        <v>147.6</v>
      </c>
      <c r="E273">
        <v>187.2</v>
      </c>
      <c r="F273">
        <v>148.4</v>
      </c>
      <c r="G273">
        <v>153.30000000000001</v>
      </c>
      <c r="H273">
        <v>139.80000000000001</v>
      </c>
      <c r="I273">
        <v>146.9</v>
      </c>
      <c r="J273">
        <v>171</v>
      </c>
      <c r="K273">
        <v>149.9</v>
      </c>
      <c r="L273">
        <v>114.2</v>
      </c>
      <c r="M273">
        <v>160</v>
      </c>
      <c r="N273">
        <v>143.5</v>
      </c>
      <c r="O273">
        <v>161.5</v>
      </c>
      <c r="P273">
        <v>155.30000000000001</v>
      </c>
      <c r="Q273">
        <v>180.9</v>
      </c>
      <c r="R273">
        <v>155.1</v>
      </c>
      <c r="S273">
        <v>149.30000000000001</v>
      </c>
      <c r="T273">
        <v>154.30000000000001</v>
      </c>
      <c r="U273" t="s">
        <v>32</v>
      </c>
      <c r="V273">
        <v>145.80000000000001</v>
      </c>
      <c r="W273">
        <v>151.9</v>
      </c>
      <c r="X273">
        <v>158.80000000000001</v>
      </c>
      <c r="Y273">
        <v>143.6</v>
      </c>
      <c r="Z273">
        <v>152.19999999999999</v>
      </c>
      <c r="AA273">
        <v>162.69999999999999</v>
      </c>
      <c r="AB273">
        <v>153.6</v>
      </c>
      <c r="AC273">
        <v>153</v>
      </c>
      <c r="AD273">
        <v>154.69999999999999</v>
      </c>
    </row>
    <row r="274" spans="1:30" x14ac:dyDescent="0.3">
      <c r="A274" t="s">
        <v>33</v>
      </c>
      <c r="B274">
        <v>2020</v>
      </c>
      <c r="C274" t="s">
        <v>46</v>
      </c>
      <c r="D274">
        <v>151.6</v>
      </c>
      <c r="E274">
        <v>197.8</v>
      </c>
      <c r="F274">
        <v>154.5</v>
      </c>
      <c r="G274">
        <v>153.4</v>
      </c>
      <c r="H274">
        <v>133.4</v>
      </c>
      <c r="I274">
        <v>154.5</v>
      </c>
      <c r="J274">
        <v>191.9</v>
      </c>
      <c r="K274">
        <v>151.30000000000001</v>
      </c>
      <c r="L274">
        <v>116.8</v>
      </c>
      <c r="M274">
        <v>160</v>
      </c>
      <c r="N274">
        <v>136.5</v>
      </c>
      <c r="O274">
        <v>163.30000000000001</v>
      </c>
      <c r="P274">
        <v>159.9</v>
      </c>
      <c r="Q274">
        <v>187.2</v>
      </c>
      <c r="R274">
        <v>150</v>
      </c>
      <c r="S274">
        <v>135.19999999999999</v>
      </c>
      <c r="T274">
        <v>147.80000000000001</v>
      </c>
      <c r="U274" t="s">
        <v>132</v>
      </c>
      <c r="V274">
        <v>138.30000000000001</v>
      </c>
      <c r="W274">
        <v>144.5</v>
      </c>
      <c r="X274">
        <v>148.69999999999999</v>
      </c>
      <c r="Y274">
        <v>133.9</v>
      </c>
      <c r="Z274">
        <v>141.19999999999999</v>
      </c>
      <c r="AA274">
        <v>155.5</v>
      </c>
      <c r="AB274">
        <v>155.19999999999999</v>
      </c>
      <c r="AC274">
        <v>144.80000000000001</v>
      </c>
      <c r="AD274">
        <v>152.9</v>
      </c>
    </row>
    <row r="275" spans="1:30" x14ac:dyDescent="0.3">
      <c r="A275" t="s">
        <v>35</v>
      </c>
      <c r="B275">
        <v>2020</v>
      </c>
      <c r="C275" t="s">
        <v>46</v>
      </c>
      <c r="D275">
        <v>148.9</v>
      </c>
      <c r="E275">
        <v>190.9</v>
      </c>
      <c r="F275">
        <v>150.80000000000001</v>
      </c>
      <c r="G275">
        <v>153.30000000000001</v>
      </c>
      <c r="H275">
        <v>137.4</v>
      </c>
      <c r="I275">
        <v>150.4</v>
      </c>
      <c r="J275">
        <v>178.1</v>
      </c>
      <c r="K275">
        <v>150.4</v>
      </c>
      <c r="L275">
        <v>115.1</v>
      </c>
      <c r="M275">
        <v>160</v>
      </c>
      <c r="N275">
        <v>140.6</v>
      </c>
      <c r="O275">
        <v>162.30000000000001</v>
      </c>
      <c r="P275">
        <v>157</v>
      </c>
      <c r="Q275">
        <v>182.6</v>
      </c>
      <c r="R275">
        <v>153.1</v>
      </c>
      <c r="S275">
        <v>143.4</v>
      </c>
      <c r="T275">
        <v>151.69999999999999</v>
      </c>
      <c r="U275" t="s">
        <v>132</v>
      </c>
      <c r="V275">
        <v>143</v>
      </c>
      <c r="W275">
        <v>148.4</v>
      </c>
      <c r="X275">
        <v>155</v>
      </c>
      <c r="Y275">
        <v>138.5</v>
      </c>
      <c r="Z275">
        <v>146</v>
      </c>
      <c r="AA275">
        <v>158.5</v>
      </c>
      <c r="AB275">
        <v>154.30000000000001</v>
      </c>
      <c r="AC275">
        <v>149</v>
      </c>
      <c r="AD275">
        <v>153.9</v>
      </c>
    </row>
    <row r="276" spans="1:30" x14ac:dyDescent="0.3">
      <c r="A276" t="s">
        <v>30</v>
      </c>
      <c r="B276">
        <v>2020</v>
      </c>
      <c r="C276" t="s">
        <v>48</v>
      </c>
      <c r="D276">
        <v>146.9</v>
      </c>
      <c r="E276">
        <v>183.9</v>
      </c>
      <c r="F276">
        <v>149.5</v>
      </c>
      <c r="G276">
        <v>153.4</v>
      </c>
      <c r="H276">
        <v>140.4</v>
      </c>
      <c r="I276">
        <v>147</v>
      </c>
      <c r="J276">
        <v>178.8</v>
      </c>
      <c r="K276">
        <v>149.30000000000001</v>
      </c>
      <c r="L276">
        <v>115.1</v>
      </c>
      <c r="M276">
        <v>160</v>
      </c>
      <c r="N276">
        <v>145.4</v>
      </c>
      <c r="O276">
        <v>161.6</v>
      </c>
      <c r="P276">
        <v>156.1</v>
      </c>
      <c r="Q276">
        <v>182.9</v>
      </c>
      <c r="R276">
        <v>155.4</v>
      </c>
      <c r="S276">
        <v>149.9</v>
      </c>
      <c r="T276">
        <v>154.6</v>
      </c>
      <c r="U276" t="s">
        <v>32</v>
      </c>
      <c r="V276">
        <v>146.4</v>
      </c>
      <c r="W276">
        <v>151.6</v>
      </c>
      <c r="X276">
        <v>159.1</v>
      </c>
      <c r="Y276">
        <v>144.6</v>
      </c>
      <c r="Z276">
        <v>152.80000000000001</v>
      </c>
      <c r="AA276">
        <v>161.1</v>
      </c>
      <c r="AB276">
        <v>157.4</v>
      </c>
      <c r="AC276">
        <v>153.69999999999999</v>
      </c>
      <c r="AD276">
        <v>155.4</v>
      </c>
    </row>
    <row r="277" spans="1:30" x14ac:dyDescent="0.3">
      <c r="A277" t="s">
        <v>33</v>
      </c>
      <c r="B277">
        <v>2020</v>
      </c>
      <c r="C277" t="s">
        <v>48</v>
      </c>
      <c r="D277">
        <v>151.5</v>
      </c>
      <c r="E277">
        <v>193.1</v>
      </c>
      <c r="F277">
        <v>157.30000000000001</v>
      </c>
      <c r="G277">
        <v>153.9</v>
      </c>
      <c r="H277">
        <v>134.4</v>
      </c>
      <c r="I277">
        <v>155.4</v>
      </c>
      <c r="J277">
        <v>202</v>
      </c>
      <c r="K277">
        <v>150.80000000000001</v>
      </c>
      <c r="L277">
        <v>118.9</v>
      </c>
      <c r="M277">
        <v>160.9</v>
      </c>
      <c r="N277">
        <v>137.69999999999999</v>
      </c>
      <c r="O277">
        <v>164.4</v>
      </c>
      <c r="P277">
        <v>161.30000000000001</v>
      </c>
      <c r="Q277">
        <v>188.7</v>
      </c>
      <c r="R277">
        <v>150.19999999999999</v>
      </c>
      <c r="S277">
        <v>136.30000000000001</v>
      </c>
      <c r="T277">
        <v>148.1</v>
      </c>
      <c r="U277" t="s">
        <v>133</v>
      </c>
      <c r="V277">
        <v>137.19999999999999</v>
      </c>
      <c r="W277">
        <v>145.4</v>
      </c>
      <c r="X277">
        <v>150</v>
      </c>
      <c r="Y277">
        <v>135.1</v>
      </c>
      <c r="Z277">
        <v>141.80000000000001</v>
      </c>
      <c r="AA277">
        <v>154.9</v>
      </c>
      <c r="AB277">
        <v>159.80000000000001</v>
      </c>
      <c r="AC277">
        <v>146</v>
      </c>
      <c r="AD277">
        <v>154</v>
      </c>
    </row>
    <row r="278" spans="1:30" x14ac:dyDescent="0.3">
      <c r="A278" t="s">
        <v>35</v>
      </c>
      <c r="B278">
        <v>2020</v>
      </c>
      <c r="C278" t="s">
        <v>48</v>
      </c>
      <c r="D278">
        <v>148.4</v>
      </c>
      <c r="E278">
        <v>187.1</v>
      </c>
      <c r="F278">
        <v>152.5</v>
      </c>
      <c r="G278">
        <v>153.6</v>
      </c>
      <c r="H278">
        <v>138.19999999999999</v>
      </c>
      <c r="I278">
        <v>150.9</v>
      </c>
      <c r="J278">
        <v>186.7</v>
      </c>
      <c r="K278">
        <v>149.80000000000001</v>
      </c>
      <c r="L278">
        <v>116.4</v>
      </c>
      <c r="M278">
        <v>160.30000000000001</v>
      </c>
      <c r="N278">
        <v>142.19999999999999</v>
      </c>
      <c r="O278">
        <v>162.9</v>
      </c>
      <c r="P278">
        <v>158</v>
      </c>
      <c r="Q278">
        <v>184.4</v>
      </c>
      <c r="R278">
        <v>153.4</v>
      </c>
      <c r="S278">
        <v>144.30000000000001</v>
      </c>
      <c r="T278">
        <v>152</v>
      </c>
      <c r="U278" t="s">
        <v>133</v>
      </c>
      <c r="V278">
        <v>142.9</v>
      </c>
      <c r="W278">
        <v>148.69999999999999</v>
      </c>
      <c r="X278">
        <v>155.6</v>
      </c>
      <c r="Y278">
        <v>139.6</v>
      </c>
      <c r="Z278">
        <v>146.6</v>
      </c>
      <c r="AA278">
        <v>157.5</v>
      </c>
      <c r="AB278">
        <v>158.4</v>
      </c>
      <c r="AC278">
        <v>150</v>
      </c>
      <c r="AD278">
        <v>154.69999999999999</v>
      </c>
    </row>
    <row r="279" spans="1:30" x14ac:dyDescent="0.3">
      <c r="A279" t="s">
        <v>30</v>
      </c>
      <c r="B279">
        <v>2020</v>
      </c>
      <c r="C279" t="s">
        <v>50</v>
      </c>
      <c r="D279">
        <v>146</v>
      </c>
      <c r="E279">
        <v>186.3</v>
      </c>
      <c r="F279">
        <v>159.19999999999999</v>
      </c>
      <c r="G279">
        <v>153.6</v>
      </c>
      <c r="H279">
        <v>142.6</v>
      </c>
      <c r="I279">
        <v>147.19999999999999</v>
      </c>
      <c r="J279">
        <v>200.6</v>
      </c>
      <c r="K279">
        <v>150.30000000000001</v>
      </c>
      <c r="L279">
        <v>115.3</v>
      </c>
      <c r="M279">
        <v>160.9</v>
      </c>
      <c r="N279">
        <v>147.4</v>
      </c>
      <c r="O279">
        <v>161.9</v>
      </c>
      <c r="P279">
        <v>159.6</v>
      </c>
      <c r="Q279">
        <v>182.7</v>
      </c>
      <c r="R279">
        <v>155.69999999999999</v>
      </c>
      <c r="S279">
        <v>150.6</v>
      </c>
      <c r="T279">
        <v>155</v>
      </c>
      <c r="U279" t="s">
        <v>32</v>
      </c>
      <c r="V279">
        <v>146.80000000000001</v>
      </c>
      <c r="W279">
        <v>152</v>
      </c>
      <c r="X279">
        <v>159.5</v>
      </c>
      <c r="Y279">
        <v>146.4</v>
      </c>
      <c r="Z279">
        <v>152.4</v>
      </c>
      <c r="AA279">
        <v>162.5</v>
      </c>
      <c r="AB279">
        <v>156.19999999999999</v>
      </c>
      <c r="AC279">
        <v>154.30000000000001</v>
      </c>
      <c r="AD279">
        <v>157.5</v>
      </c>
    </row>
    <row r="280" spans="1:30" x14ac:dyDescent="0.3">
      <c r="A280" t="s">
        <v>33</v>
      </c>
      <c r="B280">
        <v>2020</v>
      </c>
      <c r="C280" t="s">
        <v>50</v>
      </c>
      <c r="D280">
        <v>150.6</v>
      </c>
      <c r="E280">
        <v>193.7</v>
      </c>
      <c r="F280">
        <v>164.8</v>
      </c>
      <c r="G280">
        <v>153.69999999999999</v>
      </c>
      <c r="H280">
        <v>135.69999999999999</v>
      </c>
      <c r="I280">
        <v>155.69999999999999</v>
      </c>
      <c r="J280">
        <v>226</v>
      </c>
      <c r="K280">
        <v>152.19999999999999</v>
      </c>
      <c r="L280">
        <v>118.1</v>
      </c>
      <c r="M280">
        <v>161.30000000000001</v>
      </c>
      <c r="N280">
        <v>139.19999999999999</v>
      </c>
      <c r="O280">
        <v>164.8</v>
      </c>
      <c r="P280">
        <v>164.4</v>
      </c>
      <c r="Q280">
        <v>188.7</v>
      </c>
      <c r="R280">
        <v>150.5</v>
      </c>
      <c r="S280">
        <v>136.1</v>
      </c>
      <c r="T280">
        <v>148.30000000000001</v>
      </c>
      <c r="U280" t="s">
        <v>134</v>
      </c>
      <c r="V280">
        <v>137.1</v>
      </c>
      <c r="W280">
        <v>145.1</v>
      </c>
      <c r="X280">
        <v>151</v>
      </c>
      <c r="Y280">
        <v>135.4</v>
      </c>
      <c r="Z280">
        <v>142</v>
      </c>
      <c r="AA280">
        <v>155.69999999999999</v>
      </c>
      <c r="AB280">
        <v>158.1</v>
      </c>
      <c r="AC280">
        <v>146.19999999999999</v>
      </c>
      <c r="AD280">
        <v>155.19999999999999</v>
      </c>
    </row>
    <row r="281" spans="1:30" x14ac:dyDescent="0.3">
      <c r="A281" t="s">
        <v>35</v>
      </c>
      <c r="B281">
        <v>2020</v>
      </c>
      <c r="C281" t="s">
        <v>50</v>
      </c>
      <c r="D281">
        <v>147.5</v>
      </c>
      <c r="E281">
        <v>188.9</v>
      </c>
      <c r="F281">
        <v>161.4</v>
      </c>
      <c r="G281">
        <v>153.6</v>
      </c>
      <c r="H281">
        <v>140.1</v>
      </c>
      <c r="I281">
        <v>151.19999999999999</v>
      </c>
      <c r="J281">
        <v>209.2</v>
      </c>
      <c r="K281">
        <v>150.9</v>
      </c>
      <c r="L281">
        <v>116.2</v>
      </c>
      <c r="M281">
        <v>161</v>
      </c>
      <c r="N281">
        <v>144</v>
      </c>
      <c r="O281">
        <v>163.19999999999999</v>
      </c>
      <c r="P281">
        <v>161.4</v>
      </c>
      <c r="Q281">
        <v>184.3</v>
      </c>
      <c r="R281">
        <v>153.69999999999999</v>
      </c>
      <c r="S281">
        <v>144.6</v>
      </c>
      <c r="T281">
        <v>152.30000000000001</v>
      </c>
      <c r="U281" t="s">
        <v>134</v>
      </c>
      <c r="V281">
        <v>143.1</v>
      </c>
      <c r="W281">
        <v>148.69999999999999</v>
      </c>
      <c r="X281">
        <v>156.30000000000001</v>
      </c>
      <c r="Y281">
        <v>140.6</v>
      </c>
      <c r="Z281">
        <v>146.5</v>
      </c>
      <c r="AA281">
        <v>158.5</v>
      </c>
      <c r="AB281">
        <v>157</v>
      </c>
      <c r="AC281">
        <v>150.4</v>
      </c>
      <c r="AD281">
        <v>156.4</v>
      </c>
    </row>
    <row r="282" spans="1:30" x14ac:dyDescent="0.3">
      <c r="A282" t="s">
        <v>30</v>
      </c>
      <c r="B282">
        <v>2020</v>
      </c>
      <c r="C282" t="s">
        <v>53</v>
      </c>
      <c r="D282">
        <v>145.4</v>
      </c>
      <c r="E282">
        <v>188.6</v>
      </c>
      <c r="F282">
        <v>171.6</v>
      </c>
      <c r="G282">
        <v>153.80000000000001</v>
      </c>
      <c r="H282">
        <v>145.4</v>
      </c>
      <c r="I282">
        <v>146.5</v>
      </c>
      <c r="J282">
        <v>222.2</v>
      </c>
      <c r="K282">
        <v>155.9</v>
      </c>
      <c r="L282">
        <v>114.9</v>
      </c>
      <c r="M282">
        <v>162</v>
      </c>
      <c r="N282">
        <v>150</v>
      </c>
      <c r="O282">
        <v>162.69999999999999</v>
      </c>
      <c r="P282">
        <v>163.4</v>
      </c>
      <c r="Q282">
        <v>183.4</v>
      </c>
      <c r="R282">
        <v>156.30000000000001</v>
      </c>
      <c r="S282">
        <v>151</v>
      </c>
      <c r="T282">
        <v>155.5</v>
      </c>
      <c r="U282" t="s">
        <v>32</v>
      </c>
      <c r="V282">
        <v>147.5</v>
      </c>
      <c r="W282">
        <v>152.80000000000001</v>
      </c>
      <c r="X282">
        <v>160.4</v>
      </c>
      <c r="Y282">
        <v>146.1</v>
      </c>
      <c r="Z282">
        <v>153.6</v>
      </c>
      <c r="AA282">
        <v>161.6</v>
      </c>
      <c r="AB282">
        <v>156.19999999999999</v>
      </c>
      <c r="AC282">
        <v>154.5</v>
      </c>
      <c r="AD282">
        <v>159.80000000000001</v>
      </c>
    </row>
    <row r="283" spans="1:30" x14ac:dyDescent="0.3">
      <c r="A283" t="s">
        <v>33</v>
      </c>
      <c r="B283">
        <v>2020</v>
      </c>
      <c r="C283" t="s">
        <v>53</v>
      </c>
      <c r="D283">
        <v>149.69999999999999</v>
      </c>
      <c r="E283">
        <v>195.5</v>
      </c>
      <c r="F283">
        <v>176.9</v>
      </c>
      <c r="G283">
        <v>153.9</v>
      </c>
      <c r="H283">
        <v>138</v>
      </c>
      <c r="I283">
        <v>150.5</v>
      </c>
      <c r="J283">
        <v>245.3</v>
      </c>
      <c r="K283">
        <v>158.69999999999999</v>
      </c>
      <c r="L283">
        <v>117.2</v>
      </c>
      <c r="M283">
        <v>161.4</v>
      </c>
      <c r="N283">
        <v>141.5</v>
      </c>
      <c r="O283">
        <v>165.1</v>
      </c>
      <c r="P283">
        <v>167</v>
      </c>
      <c r="Q283">
        <v>188.8</v>
      </c>
      <c r="R283">
        <v>151.1</v>
      </c>
      <c r="S283">
        <v>136.4</v>
      </c>
      <c r="T283">
        <v>148.80000000000001</v>
      </c>
      <c r="U283" t="s">
        <v>135</v>
      </c>
      <c r="V283">
        <v>137.30000000000001</v>
      </c>
      <c r="W283">
        <v>145.1</v>
      </c>
      <c r="X283">
        <v>152</v>
      </c>
      <c r="Y283">
        <v>135.19999999999999</v>
      </c>
      <c r="Z283">
        <v>144.4</v>
      </c>
      <c r="AA283">
        <v>156.4</v>
      </c>
      <c r="AB283">
        <v>157.9</v>
      </c>
      <c r="AC283">
        <v>146.6</v>
      </c>
      <c r="AD283">
        <v>156.69999999999999</v>
      </c>
    </row>
    <row r="284" spans="1:30" x14ac:dyDescent="0.3">
      <c r="A284" t="s">
        <v>35</v>
      </c>
      <c r="B284">
        <v>2020</v>
      </c>
      <c r="C284" t="s">
        <v>53</v>
      </c>
      <c r="D284">
        <v>146.80000000000001</v>
      </c>
      <c r="E284">
        <v>191</v>
      </c>
      <c r="F284">
        <v>173.6</v>
      </c>
      <c r="G284">
        <v>153.80000000000001</v>
      </c>
      <c r="H284">
        <v>142.69999999999999</v>
      </c>
      <c r="I284">
        <v>148.4</v>
      </c>
      <c r="J284">
        <v>230</v>
      </c>
      <c r="K284">
        <v>156.80000000000001</v>
      </c>
      <c r="L284">
        <v>115.7</v>
      </c>
      <c r="M284">
        <v>161.80000000000001</v>
      </c>
      <c r="N284">
        <v>146.5</v>
      </c>
      <c r="O284">
        <v>163.80000000000001</v>
      </c>
      <c r="P284">
        <v>164.7</v>
      </c>
      <c r="Q284">
        <v>184.8</v>
      </c>
      <c r="R284">
        <v>154.30000000000001</v>
      </c>
      <c r="S284">
        <v>144.9</v>
      </c>
      <c r="T284">
        <v>152.80000000000001</v>
      </c>
      <c r="U284" t="s">
        <v>135</v>
      </c>
      <c r="V284">
        <v>143.6</v>
      </c>
      <c r="W284">
        <v>149.19999999999999</v>
      </c>
      <c r="X284">
        <v>157.19999999999999</v>
      </c>
      <c r="Y284">
        <v>140.4</v>
      </c>
      <c r="Z284">
        <v>148.4</v>
      </c>
      <c r="AA284">
        <v>158.6</v>
      </c>
      <c r="AB284">
        <v>156.9</v>
      </c>
      <c r="AC284">
        <v>150.69999999999999</v>
      </c>
      <c r="AD284">
        <v>158.4</v>
      </c>
    </row>
    <row r="285" spans="1:30" x14ac:dyDescent="0.3">
      <c r="A285" t="s">
        <v>30</v>
      </c>
      <c r="B285">
        <v>2020</v>
      </c>
      <c r="C285" t="s">
        <v>55</v>
      </c>
      <c r="D285">
        <v>144.6</v>
      </c>
      <c r="E285">
        <v>188.5</v>
      </c>
      <c r="F285">
        <v>173.4</v>
      </c>
      <c r="G285">
        <v>154</v>
      </c>
      <c r="H285">
        <v>150</v>
      </c>
      <c r="I285">
        <v>145.9</v>
      </c>
      <c r="J285">
        <v>225.2</v>
      </c>
      <c r="K285">
        <v>159.5</v>
      </c>
      <c r="L285">
        <v>114.4</v>
      </c>
      <c r="M285">
        <v>163.5</v>
      </c>
      <c r="N285">
        <v>153.4</v>
      </c>
      <c r="O285">
        <v>163.6</v>
      </c>
      <c r="P285">
        <v>164.5</v>
      </c>
      <c r="Q285">
        <v>183.6</v>
      </c>
      <c r="R285">
        <v>157</v>
      </c>
      <c r="S285">
        <v>151.6</v>
      </c>
      <c r="T285">
        <v>156.30000000000001</v>
      </c>
      <c r="U285" t="s">
        <v>32</v>
      </c>
      <c r="V285">
        <v>148.69999999999999</v>
      </c>
      <c r="W285">
        <v>153.4</v>
      </c>
      <c r="X285">
        <v>161.6</v>
      </c>
      <c r="Y285">
        <v>146.4</v>
      </c>
      <c r="Z285">
        <v>153.9</v>
      </c>
      <c r="AA285">
        <v>162.9</v>
      </c>
      <c r="AB285">
        <v>156.6</v>
      </c>
      <c r="AC285">
        <v>155.19999999999999</v>
      </c>
      <c r="AD285">
        <v>160.69999999999999</v>
      </c>
    </row>
    <row r="286" spans="1:30" x14ac:dyDescent="0.3">
      <c r="A286" t="s">
        <v>33</v>
      </c>
      <c r="B286">
        <v>2020</v>
      </c>
      <c r="C286" t="s">
        <v>55</v>
      </c>
      <c r="D286">
        <v>149</v>
      </c>
      <c r="E286">
        <v>195.7</v>
      </c>
      <c r="F286">
        <v>178.3</v>
      </c>
      <c r="G286">
        <v>154.19999999999999</v>
      </c>
      <c r="H286">
        <v>140.69999999999999</v>
      </c>
      <c r="I286">
        <v>149.69999999999999</v>
      </c>
      <c r="J286">
        <v>240.9</v>
      </c>
      <c r="K286">
        <v>161.5</v>
      </c>
      <c r="L286">
        <v>117.1</v>
      </c>
      <c r="M286">
        <v>161.9</v>
      </c>
      <c r="N286">
        <v>143.30000000000001</v>
      </c>
      <c r="O286">
        <v>166.1</v>
      </c>
      <c r="P286">
        <v>167</v>
      </c>
      <c r="Q286">
        <v>190.2</v>
      </c>
      <c r="R286">
        <v>151.9</v>
      </c>
      <c r="S286">
        <v>136.69999999999999</v>
      </c>
      <c r="T286">
        <v>149.6</v>
      </c>
      <c r="U286" t="s">
        <v>136</v>
      </c>
      <c r="V286">
        <v>137.9</v>
      </c>
      <c r="W286">
        <v>145.5</v>
      </c>
      <c r="X286">
        <v>152.9</v>
      </c>
      <c r="Y286">
        <v>135.5</v>
      </c>
      <c r="Z286">
        <v>144.30000000000001</v>
      </c>
      <c r="AA286">
        <v>156.9</v>
      </c>
      <c r="AB286">
        <v>157.9</v>
      </c>
      <c r="AC286">
        <v>146.9</v>
      </c>
      <c r="AD286">
        <v>156.9</v>
      </c>
    </row>
    <row r="287" spans="1:30" x14ac:dyDescent="0.3">
      <c r="A287" t="s">
        <v>35</v>
      </c>
      <c r="B287">
        <v>2020</v>
      </c>
      <c r="C287" t="s">
        <v>55</v>
      </c>
      <c r="D287">
        <v>146</v>
      </c>
      <c r="E287">
        <v>191</v>
      </c>
      <c r="F287">
        <v>175.3</v>
      </c>
      <c r="G287">
        <v>154.1</v>
      </c>
      <c r="H287">
        <v>146.6</v>
      </c>
      <c r="I287">
        <v>147.69999999999999</v>
      </c>
      <c r="J287">
        <v>230.5</v>
      </c>
      <c r="K287">
        <v>160.19999999999999</v>
      </c>
      <c r="L287">
        <v>115.3</v>
      </c>
      <c r="M287">
        <v>163</v>
      </c>
      <c r="N287">
        <v>149.19999999999999</v>
      </c>
      <c r="O287">
        <v>164.8</v>
      </c>
      <c r="P287">
        <v>165.4</v>
      </c>
      <c r="Q287">
        <v>185.4</v>
      </c>
      <c r="R287">
        <v>155</v>
      </c>
      <c r="S287">
        <v>145.4</v>
      </c>
      <c r="T287">
        <v>153.6</v>
      </c>
      <c r="U287" t="s">
        <v>136</v>
      </c>
      <c r="V287">
        <v>144.6</v>
      </c>
      <c r="W287">
        <v>149.69999999999999</v>
      </c>
      <c r="X287">
        <v>158.30000000000001</v>
      </c>
      <c r="Y287">
        <v>140.69999999999999</v>
      </c>
      <c r="Z287">
        <v>148.5</v>
      </c>
      <c r="AA287">
        <v>159.4</v>
      </c>
      <c r="AB287">
        <v>157.1</v>
      </c>
      <c r="AC287">
        <v>151.19999999999999</v>
      </c>
      <c r="AD287">
        <v>158.9</v>
      </c>
    </row>
    <row r="288" spans="1:30" x14ac:dyDescent="0.3">
      <c r="A288" t="s">
        <v>30</v>
      </c>
      <c r="B288">
        <v>2021</v>
      </c>
      <c r="C288" t="s">
        <v>31</v>
      </c>
      <c r="D288">
        <v>143.4</v>
      </c>
      <c r="E288">
        <v>187.5</v>
      </c>
      <c r="F288">
        <v>173.4</v>
      </c>
      <c r="G288">
        <v>154</v>
      </c>
      <c r="H288">
        <v>154.80000000000001</v>
      </c>
      <c r="I288">
        <v>147</v>
      </c>
      <c r="J288">
        <v>187.8</v>
      </c>
      <c r="K288">
        <v>159.5</v>
      </c>
      <c r="L288">
        <v>113.8</v>
      </c>
      <c r="M288">
        <v>164.5</v>
      </c>
      <c r="N288">
        <v>156.1</v>
      </c>
      <c r="O288">
        <v>164.3</v>
      </c>
      <c r="P288">
        <v>159.6</v>
      </c>
      <c r="Q288">
        <v>184.6</v>
      </c>
      <c r="R288">
        <v>157.5</v>
      </c>
      <c r="S288">
        <v>152.4</v>
      </c>
      <c r="T288">
        <v>156.80000000000001</v>
      </c>
      <c r="U288" t="s">
        <v>32</v>
      </c>
      <c r="V288">
        <v>150.9</v>
      </c>
      <c r="W288">
        <v>153.9</v>
      </c>
      <c r="X288">
        <v>162.5</v>
      </c>
      <c r="Y288">
        <v>147.5</v>
      </c>
      <c r="Z288">
        <v>155.1</v>
      </c>
      <c r="AA288">
        <v>163.5</v>
      </c>
      <c r="AB288">
        <v>156.19999999999999</v>
      </c>
      <c r="AC288">
        <v>155.9</v>
      </c>
      <c r="AD288">
        <v>158.5</v>
      </c>
    </row>
    <row r="289" spans="1:30" x14ac:dyDescent="0.3">
      <c r="A289" t="s">
        <v>33</v>
      </c>
      <c r="B289">
        <v>2021</v>
      </c>
      <c r="C289" t="s">
        <v>31</v>
      </c>
      <c r="D289">
        <v>148</v>
      </c>
      <c r="E289">
        <v>194.8</v>
      </c>
      <c r="F289">
        <v>178.4</v>
      </c>
      <c r="G289">
        <v>154.4</v>
      </c>
      <c r="H289">
        <v>144.1</v>
      </c>
      <c r="I289">
        <v>152.6</v>
      </c>
      <c r="J289">
        <v>206.8</v>
      </c>
      <c r="K289">
        <v>162.1</v>
      </c>
      <c r="L289">
        <v>116.3</v>
      </c>
      <c r="M289">
        <v>163</v>
      </c>
      <c r="N289">
        <v>145.9</v>
      </c>
      <c r="O289">
        <v>167.2</v>
      </c>
      <c r="P289">
        <v>163.4</v>
      </c>
      <c r="Q289">
        <v>191.8</v>
      </c>
      <c r="R289">
        <v>152.5</v>
      </c>
      <c r="S289">
        <v>137.30000000000001</v>
      </c>
      <c r="T289">
        <v>150.19999999999999</v>
      </c>
      <c r="U289" t="s">
        <v>137</v>
      </c>
      <c r="V289">
        <v>142.9</v>
      </c>
      <c r="W289">
        <v>145.69999999999999</v>
      </c>
      <c r="X289">
        <v>154.1</v>
      </c>
      <c r="Y289">
        <v>136.9</v>
      </c>
      <c r="Z289">
        <v>145.4</v>
      </c>
      <c r="AA289">
        <v>156.1</v>
      </c>
      <c r="AB289">
        <v>157.69999999999999</v>
      </c>
      <c r="AC289">
        <v>147.6</v>
      </c>
      <c r="AD289">
        <v>156</v>
      </c>
    </row>
    <row r="290" spans="1:30" x14ac:dyDescent="0.3">
      <c r="A290" t="s">
        <v>35</v>
      </c>
      <c r="B290">
        <v>2021</v>
      </c>
      <c r="C290" t="s">
        <v>31</v>
      </c>
      <c r="D290">
        <v>144.9</v>
      </c>
      <c r="E290">
        <v>190.1</v>
      </c>
      <c r="F290">
        <v>175.3</v>
      </c>
      <c r="G290">
        <v>154.1</v>
      </c>
      <c r="H290">
        <v>150.9</v>
      </c>
      <c r="I290">
        <v>149.6</v>
      </c>
      <c r="J290">
        <v>194.2</v>
      </c>
      <c r="K290">
        <v>160.4</v>
      </c>
      <c r="L290">
        <v>114.6</v>
      </c>
      <c r="M290">
        <v>164</v>
      </c>
      <c r="N290">
        <v>151.80000000000001</v>
      </c>
      <c r="O290">
        <v>165.6</v>
      </c>
      <c r="P290">
        <v>161</v>
      </c>
      <c r="Q290">
        <v>186.5</v>
      </c>
      <c r="R290">
        <v>155.5</v>
      </c>
      <c r="S290">
        <v>146.1</v>
      </c>
      <c r="T290">
        <v>154.19999999999999</v>
      </c>
      <c r="U290" t="s">
        <v>137</v>
      </c>
      <c r="V290">
        <v>147.9</v>
      </c>
      <c r="W290">
        <v>150</v>
      </c>
      <c r="X290">
        <v>159.30000000000001</v>
      </c>
      <c r="Y290">
        <v>141.9</v>
      </c>
      <c r="Z290">
        <v>149.6</v>
      </c>
      <c r="AA290">
        <v>159.19999999999999</v>
      </c>
      <c r="AB290">
        <v>156.80000000000001</v>
      </c>
      <c r="AC290">
        <v>151.9</v>
      </c>
      <c r="AD290">
        <v>157.30000000000001</v>
      </c>
    </row>
    <row r="291" spans="1:30" x14ac:dyDescent="0.3">
      <c r="A291" t="s">
        <v>30</v>
      </c>
      <c r="B291">
        <v>2021</v>
      </c>
      <c r="C291" t="s">
        <v>36</v>
      </c>
      <c r="D291">
        <v>142.80000000000001</v>
      </c>
      <c r="E291">
        <v>184</v>
      </c>
      <c r="F291">
        <v>168</v>
      </c>
      <c r="G291">
        <v>154.4</v>
      </c>
      <c r="H291">
        <v>163</v>
      </c>
      <c r="I291">
        <v>147.80000000000001</v>
      </c>
      <c r="J291">
        <v>149.69999999999999</v>
      </c>
      <c r="K291">
        <v>158.30000000000001</v>
      </c>
      <c r="L291">
        <v>111.8</v>
      </c>
      <c r="M291">
        <v>165</v>
      </c>
      <c r="N291">
        <v>160</v>
      </c>
      <c r="O291">
        <v>165.8</v>
      </c>
      <c r="P291">
        <v>154.69999999999999</v>
      </c>
      <c r="Q291">
        <v>186.5</v>
      </c>
      <c r="R291">
        <v>159.1</v>
      </c>
      <c r="S291">
        <v>153.9</v>
      </c>
      <c r="T291">
        <v>158.4</v>
      </c>
      <c r="U291" t="s">
        <v>32</v>
      </c>
      <c r="V291">
        <v>154.4</v>
      </c>
      <c r="W291">
        <v>154.80000000000001</v>
      </c>
      <c r="X291">
        <v>164.3</v>
      </c>
      <c r="Y291">
        <v>150.19999999999999</v>
      </c>
      <c r="Z291">
        <v>157</v>
      </c>
      <c r="AA291">
        <v>163.6</v>
      </c>
      <c r="AB291">
        <v>155.19999999999999</v>
      </c>
      <c r="AC291">
        <v>157.19999999999999</v>
      </c>
      <c r="AD291">
        <v>156.69999999999999</v>
      </c>
    </row>
    <row r="292" spans="1:30" x14ac:dyDescent="0.3">
      <c r="A292" t="s">
        <v>33</v>
      </c>
      <c r="B292">
        <v>2021</v>
      </c>
      <c r="C292" t="s">
        <v>36</v>
      </c>
      <c r="D292">
        <v>147.6</v>
      </c>
      <c r="E292">
        <v>191.2</v>
      </c>
      <c r="F292">
        <v>169.9</v>
      </c>
      <c r="G292">
        <v>155.1</v>
      </c>
      <c r="H292">
        <v>151.4</v>
      </c>
      <c r="I292">
        <v>154</v>
      </c>
      <c r="J292">
        <v>180.2</v>
      </c>
      <c r="K292">
        <v>159.80000000000001</v>
      </c>
      <c r="L292">
        <v>114.9</v>
      </c>
      <c r="M292">
        <v>162.5</v>
      </c>
      <c r="N292">
        <v>149.19999999999999</v>
      </c>
      <c r="O292">
        <v>169.4</v>
      </c>
      <c r="P292">
        <v>160.80000000000001</v>
      </c>
      <c r="Q292">
        <v>193.3</v>
      </c>
      <c r="R292">
        <v>154.19999999999999</v>
      </c>
      <c r="S292">
        <v>138.19999999999999</v>
      </c>
      <c r="T292">
        <v>151.80000000000001</v>
      </c>
      <c r="U292" t="s">
        <v>138</v>
      </c>
      <c r="V292">
        <v>149.1</v>
      </c>
      <c r="W292">
        <v>146.5</v>
      </c>
      <c r="X292">
        <v>156.30000000000001</v>
      </c>
      <c r="Y292">
        <v>140.5</v>
      </c>
      <c r="Z292">
        <v>147.30000000000001</v>
      </c>
      <c r="AA292">
        <v>156.6</v>
      </c>
      <c r="AB292">
        <v>156.69999999999999</v>
      </c>
      <c r="AC292">
        <v>149.30000000000001</v>
      </c>
      <c r="AD292">
        <v>156.5</v>
      </c>
    </row>
    <row r="293" spans="1:30" x14ac:dyDescent="0.3">
      <c r="A293" t="s">
        <v>35</v>
      </c>
      <c r="B293">
        <v>2021</v>
      </c>
      <c r="C293" t="s">
        <v>36</v>
      </c>
      <c r="D293">
        <v>144.30000000000001</v>
      </c>
      <c r="E293">
        <v>186.5</v>
      </c>
      <c r="F293">
        <v>168.7</v>
      </c>
      <c r="G293">
        <v>154.69999999999999</v>
      </c>
      <c r="H293">
        <v>158.69999999999999</v>
      </c>
      <c r="I293">
        <v>150.69999999999999</v>
      </c>
      <c r="J293">
        <v>160</v>
      </c>
      <c r="K293">
        <v>158.80000000000001</v>
      </c>
      <c r="L293">
        <v>112.8</v>
      </c>
      <c r="M293">
        <v>164.2</v>
      </c>
      <c r="N293">
        <v>155.5</v>
      </c>
      <c r="O293">
        <v>167.5</v>
      </c>
      <c r="P293">
        <v>156.9</v>
      </c>
      <c r="Q293">
        <v>188.3</v>
      </c>
      <c r="R293">
        <v>157.19999999999999</v>
      </c>
      <c r="S293">
        <v>147.4</v>
      </c>
      <c r="T293">
        <v>155.80000000000001</v>
      </c>
      <c r="U293" t="s">
        <v>138</v>
      </c>
      <c r="V293">
        <v>152.4</v>
      </c>
      <c r="W293">
        <v>150.9</v>
      </c>
      <c r="X293">
        <v>161.30000000000001</v>
      </c>
      <c r="Y293">
        <v>145.1</v>
      </c>
      <c r="Z293">
        <v>151.5</v>
      </c>
      <c r="AA293">
        <v>159.5</v>
      </c>
      <c r="AB293">
        <v>155.80000000000001</v>
      </c>
      <c r="AC293">
        <v>153.4</v>
      </c>
      <c r="AD293">
        <v>156.6</v>
      </c>
    </row>
    <row r="294" spans="1:30" x14ac:dyDescent="0.3">
      <c r="A294" t="s">
        <v>30</v>
      </c>
      <c r="B294">
        <v>2021</v>
      </c>
      <c r="C294" t="s">
        <v>38</v>
      </c>
      <c r="D294">
        <v>142.5</v>
      </c>
      <c r="E294">
        <v>189.4</v>
      </c>
      <c r="F294">
        <v>163.19999999999999</v>
      </c>
      <c r="G294">
        <v>154.5</v>
      </c>
      <c r="H294">
        <v>168.2</v>
      </c>
      <c r="I294">
        <v>150.5</v>
      </c>
      <c r="J294">
        <v>141</v>
      </c>
      <c r="K294">
        <v>159.19999999999999</v>
      </c>
      <c r="L294">
        <v>111.7</v>
      </c>
      <c r="M294">
        <v>164</v>
      </c>
      <c r="N294">
        <v>160.6</v>
      </c>
      <c r="O294">
        <v>166.4</v>
      </c>
      <c r="P294">
        <v>154.5</v>
      </c>
      <c r="Q294">
        <v>186.1</v>
      </c>
      <c r="R294">
        <v>159.6</v>
      </c>
      <c r="S294">
        <v>154.4</v>
      </c>
      <c r="T294">
        <v>158.9</v>
      </c>
      <c r="U294" t="s">
        <v>139</v>
      </c>
      <c r="V294">
        <v>156</v>
      </c>
      <c r="W294">
        <v>154.80000000000001</v>
      </c>
      <c r="X294">
        <v>164.6</v>
      </c>
      <c r="Y294">
        <v>151.30000000000001</v>
      </c>
      <c r="Z294">
        <v>157.80000000000001</v>
      </c>
      <c r="AA294">
        <v>163.80000000000001</v>
      </c>
      <c r="AB294">
        <v>153.1</v>
      </c>
      <c r="AC294">
        <v>157.30000000000001</v>
      </c>
      <c r="AD294">
        <v>156.69999999999999</v>
      </c>
    </row>
    <row r="295" spans="1:30" x14ac:dyDescent="0.3">
      <c r="A295" t="s">
        <v>33</v>
      </c>
      <c r="B295">
        <v>2021</v>
      </c>
      <c r="C295" t="s">
        <v>38</v>
      </c>
      <c r="D295">
        <v>147.5</v>
      </c>
      <c r="E295">
        <v>197.5</v>
      </c>
      <c r="F295">
        <v>164.7</v>
      </c>
      <c r="G295">
        <v>155.6</v>
      </c>
      <c r="H295">
        <v>156.4</v>
      </c>
      <c r="I295">
        <v>157.30000000000001</v>
      </c>
      <c r="J295">
        <v>166.1</v>
      </c>
      <c r="K295">
        <v>161.1</v>
      </c>
      <c r="L295">
        <v>114.3</v>
      </c>
      <c r="M295">
        <v>162.6</v>
      </c>
      <c r="N295">
        <v>150.69999999999999</v>
      </c>
      <c r="O295">
        <v>170.3</v>
      </c>
      <c r="P295">
        <v>160.4</v>
      </c>
      <c r="Q295">
        <v>193.5</v>
      </c>
      <c r="R295">
        <v>155.1</v>
      </c>
      <c r="S295">
        <v>138.69999999999999</v>
      </c>
      <c r="T295">
        <v>152.6</v>
      </c>
      <c r="U295" t="s">
        <v>140</v>
      </c>
      <c r="V295">
        <v>154.80000000000001</v>
      </c>
      <c r="W295">
        <v>147.19999999999999</v>
      </c>
      <c r="X295">
        <v>156.9</v>
      </c>
      <c r="Y295">
        <v>141.69999999999999</v>
      </c>
      <c r="Z295">
        <v>148.6</v>
      </c>
      <c r="AA295">
        <v>157.6</v>
      </c>
      <c r="AB295">
        <v>154.9</v>
      </c>
      <c r="AC295">
        <v>150</v>
      </c>
      <c r="AD295">
        <v>156.9</v>
      </c>
    </row>
    <row r="296" spans="1:30" x14ac:dyDescent="0.3">
      <c r="A296" t="s">
        <v>35</v>
      </c>
      <c r="B296">
        <v>2021</v>
      </c>
      <c r="C296" t="s">
        <v>38</v>
      </c>
      <c r="D296">
        <v>144.1</v>
      </c>
      <c r="E296">
        <v>192.2</v>
      </c>
      <c r="F296">
        <v>163.80000000000001</v>
      </c>
      <c r="G296">
        <v>154.9</v>
      </c>
      <c r="H296">
        <v>163.9</v>
      </c>
      <c r="I296">
        <v>153.69999999999999</v>
      </c>
      <c r="J296">
        <v>149.5</v>
      </c>
      <c r="K296">
        <v>159.80000000000001</v>
      </c>
      <c r="L296">
        <v>112.6</v>
      </c>
      <c r="M296">
        <v>163.5</v>
      </c>
      <c r="N296">
        <v>156.5</v>
      </c>
      <c r="O296">
        <v>168.2</v>
      </c>
      <c r="P296">
        <v>156.69999999999999</v>
      </c>
      <c r="Q296">
        <v>188.1</v>
      </c>
      <c r="R296">
        <v>157.80000000000001</v>
      </c>
      <c r="S296">
        <v>147.9</v>
      </c>
      <c r="T296">
        <v>156.4</v>
      </c>
      <c r="U296" t="s">
        <v>140</v>
      </c>
      <c r="V296">
        <v>155.5</v>
      </c>
      <c r="W296">
        <v>151.19999999999999</v>
      </c>
      <c r="X296">
        <v>161.69999999999999</v>
      </c>
      <c r="Y296">
        <v>146.19999999999999</v>
      </c>
      <c r="Z296">
        <v>152.6</v>
      </c>
      <c r="AA296">
        <v>160.19999999999999</v>
      </c>
      <c r="AB296">
        <v>153.80000000000001</v>
      </c>
      <c r="AC296">
        <v>153.80000000000001</v>
      </c>
      <c r="AD296">
        <v>156.80000000000001</v>
      </c>
    </row>
    <row r="297" spans="1:30" x14ac:dyDescent="0.3">
      <c r="A297" t="s">
        <v>30</v>
      </c>
      <c r="B297">
        <v>2021</v>
      </c>
      <c r="C297" t="s">
        <v>39</v>
      </c>
      <c r="D297">
        <v>142.69999999999999</v>
      </c>
      <c r="E297">
        <v>195.5</v>
      </c>
      <c r="F297">
        <v>163.4</v>
      </c>
      <c r="G297">
        <v>155</v>
      </c>
      <c r="H297">
        <v>175.2</v>
      </c>
      <c r="I297">
        <v>160.6</v>
      </c>
      <c r="J297">
        <v>135.1</v>
      </c>
      <c r="K297">
        <v>161.1</v>
      </c>
      <c r="L297">
        <v>112.2</v>
      </c>
      <c r="M297">
        <v>164.4</v>
      </c>
      <c r="N297">
        <v>161.9</v>
      </c>
      <c r="O297">
        <v>166.8</v>
      </c>
      <c r="P297">
        <v>155.6</v>
      </c>
      <c r="Q297">
        <v>186.8</v>
      </c>
      <c r="R297">
        <v>160.69999999999999</v>
      </c>
      <c r="S297">
        <v>155.1</v>
      </c>
      <c r="T297">
        <v>159.9</v>
      </c>
      <c r="U297" t="s">
        <v>139</v>
      </c>
      <c r="V297">
        <v>156</v>
      </c>
      <c r="W297">
        <v>155.5</v>
      </c>
      <c r="X297">
        <v>165.3</v>
      </c>
      <c r="Y297">
        <v>151.69999999999999</v>
      </c>
      <c r="Z297">
        <v>158.6</v>
      </c>
      <c r="AA297">
        <v>164.1</v>
      </c>
      <c r="AB297">
        <v>154.6</v>
      </c>
      <c r="AC297">
        <v>158</v>
      </c>
      <c r="AD297">
        <v>157.6</v>
      </c>
    </row>
    <row r="298" spans="1:30" x14ac:dyDescent="0.3">
      <c r="A298" t="s">
        <v>33</v>
      </c>
      <c r="B298">
        <v>2021</v>
      </c>
      <c r="C298" t="s">
        <v>39</v>
      </c>
      <c r="D298">
        <v>147.6</v>
      </c>
      <c r="E298">
        <v>202.5</v>
      </c>
      <c r="F298">
        <v>166.4</v>
      </c>
      <c r="G298">
        <v>156</v>
      </c>
      <c r="H298">
        <v>161.4</v>
      </c>
      <c r="I298">
        <v>168.8</v>
      </c>
      <c r="J298">
        <v>161.6</v>
      </c>
      <c r="K298">
        <v>162.80000000000001</v>
      </c>
      <c r="L298">
        <v>114.8</v>
      </c>
      <c r="M298">
        <v>162.80000000000001</v>
      </c>
      <c r="N298">
        <v>151.5</v>
      </c>
      <c r="O298">
        <v>171.4</v>
      </c>
      <c r="P298">
        <v>162</v>
      </c>
      <c r="Q298">
        <v>194.4</v>
      </c>
      <c r="R298">
        <v>155.9</v>
      </c>
      <c r="S298">
        <v>139.30000000000001</v>
      </c>
      <c r="T298">
        <v>153.4</v>
      </c>
      <c r="U298" t="s">
        <v>141</v>
      </c>
      <c r="V298">
        <v>154.9</v>
      </c>
      <c r="W298">
        <v>147.6</v>
      </c>
      <c r="X298">
        <v>157.5</v>
      </c>
      <c r="Y298">
        <v>142.1</v>
      </c>
      <c r="Z298">
        <v>149.1</v>
      </c>
      <c r="AA298">
        <v>157.6</v>
      </c>
      <c r="AB298">
        <v>156.6</v>
      </c>
      <c r="AC298">
        <v>150.5</v>
      </c>
      <c r="AD298">
        <v>158</v>
      </c>
    </row>
    <row r="299" spans="1:30" x14ac:dyDescent="0.3">
      <c r="A299" t="s">
        <v>35</v>
      </c>
      <c r="B299">
        <v>2021</v>
      </c>
      <c r="C299" t="s">
        <v>39</v>
      </c>
      <c r="D299">
        <v>144.30000000000001</v>
      </c>
      <c r="E299">
        <v>198</v>
      </c>
      <c r="F299">
        <v>164.6</v>
      </c>
      <c r="G299">
        <v>155.4</v>
      </c>
      <c r="H299">
        <v>170.1</v>
      </c>
      <c r="I299">
        <v>164.4</v>
      </c>
      <c r="J299">
        <v>144.1</v>
      </c>
      <c r="K299">
        <v>161.69999999999999</v>
      </c>
      <c r="L299">
        <v>113.1</v>
      </c>
      <c r="M299">
        <v>163.9</v>
      </c>
      <c r="N299">
        <v>157.6</v>
      </c>
      <c r="O299">
        <v>168.9</v>
      </c>
      <c r="P299">
        <v>158</v>
      </c>
      <c r="Q299">
        <v>188.8</v>
      </c>
      <c r="R299">
        <v>158.80000000000001</v>
      </c>
      <c r="S299">
        <v>148.5</v>
      </c>
      <c r="T299">
        <v>157.30000000000001</v>
      </c>
      <c r="U299" t="s">
        <v>141</v>
      </c>
      <c r="V299">
        <v>155.6</v>
      </c>
      <c r="W299">
        <v>151.80000000000001</v>
      </c>
      <c r="X299">
        <v>162.30000000000001</v>
      </c>
      <c r="Y299">
        <v>146.6</v>
      </c>
      <c r="Z299">
        <v>153.19999999999999</v>
      </c>
      <c r="AA299">
        <v>160.30000000000001</v>
      </c>
      <c r="AB299">
        <v>155.4</v>
      </c>
      <c r="AC299">
        <v>154.4</v>
      </c>
      <c r="AD299">
        <v>157.80000000000001</v>
      </c>
    </row>
    <row r="300" spans="1:30" x14ac:dyDescent="0.3">
      <c r="A300" t="s">
        <v>30</v>
      </c>
      <c r="B300">
        <v>2021</v>
      </c>
      <c r="C300" t="s">
        <v>41</v>
      </c>
      <c r="D300">
        <v>145.1</v>
      </c>
      <c r="E300">
        <v>198.5</v>
      </c>
      <c r="F300">
        <v>168.6</v>
      </c>
      <c r="G300">
        <v>155.80000000000001</v>
      </c>
      <c r="H300">
        <v>184.4</v>
      </c>
      <c r="I300">
        <v>162.30000000000001</v>
      </c>
      <c r="J300">
        <v>138.4</v>
      </c>
      <c r="K300">
        <v>165.1</v>
      </c>
      <c r="L300">
        <v>114.3</v>
      </c>
      <c r="M300">
        <v>169.7</v>
      </c>
      <c r="N300">
        <v>164.6</v>
      </c>
      <c r="O300">
        <v>169.8</v>
      </c>
      <c r="P300">
        <v>158.69999999999999</v>
      </c>
      <c r="Q300">
        <v>189.6</v>
      </c>
      <c r="R300">
        <v>165.3</v>
      </c>
      <c r="S300">
        <v>160.6</v>
      </c>
      <c r="T300">
        <v>164.5</v>
      </c>
      <c r="U300" t="s">
        <v>32</v>
      </c>
      <c r="V300">
        <v>161.69999999999999</v>
      </c>
      <c r="W300">
        <v>158.80000000000001</v>
      </c>
      <c r="X300">
        <v>169.1</v>
      </c>
      <c r="Y300">
        <v>153.19999999999999</v>
      </c>
      <c r="Z300">
        <v>160</v>
      </c>
      <c r="AA300">
        <v>167.6</v>
      </c>
      <c r="AB300">
        <v>159.30000000000001</v>
      </c>
      <c r="AC300">
        <v>161.1</v>
      </c>
      <c r="AD300">
        <v>161.1</v>
      </c>
    </row>
    <row r="301" spans="1:30" x14ac:dyDescent="0.3">
      <c r="A301" t="s">
        <v>33</v>
      </c>
      <c r="B301">
        <v>2021</v>
      </c>
      <c r="C301" t="s">
        <v>41</v>
      </c>
      <c r="D301">
        <v>148.80000000000001</v>
      </c>
      <c r="E301">
        <v>204.3</v>
      </c>
      <c r="F301">
        <v>173</v>
      </c>
      <c r="G301">
        <v>156.5</v>
      </c>
      <c r="H301">
        <v>168.8</v>
      </c>
      <c r="I301">
        <v>172.5</v>
      </c>
      <c r="J301">
        <v>166.5</v>
      </c>
      <c r="K301">
        <v>165.9</v>
      </c>
      <c r="L301">
        <v>115.9</v>
      </c>
      <c r="M301">
        <v>165.2</v>
      </c>
      <c r="N301">
        <v>152</v>
      </c>
      <c r="O301">
        <v>171.1</v>
      </c>
      <c r="P301">
        <v>164.2</v>
      </c>
      <c r="Q301">
        <v>198.2</v>
      </c>
      <c r="R301">
        <v>156.5</v>
      </c>
      <c r="S301">
        <v>140.19999999999999</v>
      </c>
      <c r="T301">
        <v>154.1</v>
      </c>
      <c r="U301" t="s">
        <v>142</v>
      </c>
      <c r="V301">
        <v>155.5</v>
      </c>
      <c r="W301">
        <v>150.1</v>
      </c>
      <c r="X301">
        <v>160.4</v>
      </c>
      <c r="Y301">
        <v>145</v>
      </c>
      <c r="Z301">
        <v>152.6</v>
      </c>
      <c r="AA301">
        <v>156.6</v>
      </c>
      <c r="AB301">
        <v>157.5</v>
      </c>
      <c r="AC301">
        <v>152.30000000000001</v>
      </c>
      <c r="AD301">
        <v>159.5</v>
      </c>
    </row>
    <row r="302" spans="1:30" x14ac:dyDescent="0.3">
      <c r="A302" t="s">
        <v>35</v>
      </c>
      <c r="B302">
        <v>2021</v>
      </c>
      <c r="C302" t="s">
        <v>41</v>
      </c>
      <c r="D302">
        <v>146.30000000000001</v>
      </c>
      <c r="E302">
        <v>200.5</v>
      </c>
      <c r="F302">
        <v>170.3</v>
      </c>
      <c r="G302">
        <v>156.1</v>
      </c>
      <c r="H302">
        <v>178.7</v>
      </c>
      <c r="I302">
        <v>167.1</v>
      </c>
      <c r="J302">
        <v>147.9</v>
      </c>
      <c r="K302">
        <v>165.4</v>
      </c>
      <c r="L302">
        <v>114.8</v>
      </c>
      <c r="M302">
        <v>168.2</v>
      </c>
      <c r="N302">
        <v>159.30000000000001</v>
      </c>
      <c r="O302">
        <v>170.4</v>
      </c>
      <c r="P302">
        <v>160.69999999999999</v>
      </c>
      <c r="Q302">
        <v>191.9</v>
      </c>
      <c r="R302">
        <v>161.80000000000001</v>
      </c>
      <c r="S302">
        <v>152.1</v>
      </c>
      <c r="T302">
        <v>160.4</v>
      </c>
      <c r="U302" t="s">
        <v>142</v>
      </c>
      <c r="V302">
        <v>159.4</v>
      </c>
      <c r="W302">
        <v>154.69999999999999</v>
      </c>
      <c r="X302">
        <v>165.8</v>
      </c>
      <c r="Y302">
        <v>148.9</v>
      </c>
      <c r="Z302">
        <v>155.80000000000001</v>
      </c>
      <c r="AA302">
        <v>161.19999999999999</v>
      </c>
      <c r="AB302">
        <v>158.6</v>
      </c>
      <c r="AC302">
        <v>156.80000000000001</v>
      </c>
      <c r="AD302">
        <v>160.4</v>
      </c>
    </row>
    <row r="303" spans="1:30" x14ac:dyDescent="0.3">
      <c r="A303" t="s">
        <v>30</v>
      </c>
      <c r="B303">
        <v>2021</v>
      </c>
      <c r="C303" t="s">
        <v>42</v>
      </c>
      <c r="D303">
        <v>145.6</v>
      </c>
      <c r="E303">
        <v>200.1</v>
      </c>
      <c r="F303">
        <v>179.3</v>
      </c>
      <c r="G303">
        <v>156.1</v>
      </c>
      <c r="H303">
        <v>190.4</v>
      </c>
      <c r="I303">
        <v>158.6</v>
      </c>
      <c r="J303">
        <v>144.69999999999999</v>
      </c>
      <c r="K303">
        <v>165.5</v>
      </c>
      <c r="L303">
        <v>114.6</v>
      </c>
      <c r="M303">
        <v>170</v>
      </c>
      <c r="N303">
        <v>165.5</v>
      </c>
      <c r="O303">
        <v>171.7</v>
      </c>
      <c r="P303">
        <v>160.5</v>
      </c>
      <c r="Q303">
        <v>189.1</v>
      </c>
      <c r="R303">
        <v>165.3</v>
      </c>
      <c r="S303">
        <v>159.9</v>
      </c>
      <c r="T303">
        <v>164.6</v>
      </c>
      <c r="U303" t="s">
        <v>32</v>
      </c>
      <c r="V303">
        <v>162.1</v>
      </c>
      <c r="W303">
        <v>159.19999999999999</v>
      </c>
      <c r="X303">
        <v>169.7</v>
      </c>
      <c r="Y303">
        <v>154.19999999999999</v>
      </c>
      <c r="Z303">
        <v>160.4</v>
      </c>
      <c r="AA303">
        <v>166.8</v>
      </c>
      <c r="AB303">
        <v>159.4</v>
      </c>
      <c r="AC303">
        <v>161.5</v>
      </c>
      <c r="AD303">
        <v>162.1</v>
      </c>
    </row>
    <row r="304" spans="1:30" x14ac:dyDescent="0.3">
      <c r="A304" t="s">
        <v>33</v>
      </c>
      <c r="B304">
        <v>2021</v>
      </c>
      <c r="C304" t="s">
        <v>42</v>
      </c>
      <c r="D304">
        <v>149.19999999999999</v>
      </c>
      <c r="E304">
        <v>205.5</v>
      </c>
      <c r="F304">
        <v>182.8</v>
      </c>
      <c r="G304">
        <v>156.5</v>
      </c>
      <c r="H304">
        <v>172.2</v>
      </c>
      <c r="I304">
        <v>171.5</v>
      </c>
      <c r="J304">
        <v>176.2</v>
      </c>
      <c r="K304">
        <v>166.9</v>
      </c>
      <c r="L304">
        <v>116.1</v>
      </c>
      <c r="M304">
        <v>165.5</v>
      </c>
      <c r="N304">
        <v>152.30000000000001</v>
      </c>
      <c r="O304">
        <v>173.3</v>
      </c>
      <c r="P304">
        <v>166.2</v>
      </c>
      <c r="Q304">
        <v>195.6</v>
      </c>
      <c r="R304">
        <v>157.30000000000001</v>
      </c>
      <c r="S304">
        <v>140.5</v>
      </c>
      <c r="T304">
        <v>154.80000000000001</v>
      </c>
      <c r="U304" t="s">
        <v>143</v>
      </c>
      <c r="V304">
        <v>156.1</v>
      </c>
      <c r="W304">
        <v>149.80000000000001</v>
      </c>
      <c r="X304">
        <v>160.80000000000001</v>
      </c>
      <c r="Y304">
        <v>147.5</v>
      </c>
      <c r="Z304">
        <v>150.69999999999999</v>
      </c>
      <c r="AA304">
        <v>158.1</v>
      </c>
      <c r="AB304">
        <v>158</v>
      </c>
      <c r="AC304">
        <v>153.4</v>
      </c>
      <c r="AD304">
        <v>160.4</v>
      </c>
    </row>
    <row r="305" spans="1:30" x14ac:dyDescent="0.3">
      <c r="A305" t="s">
        <v>35</v>
      </c>
      <c r="B305">
        <v>2021</v>
      </c>
      <c r="C305" t="s">
        <v>42</v>
      </c>
      <c r="D305">
        <v>146.69999999999999</v>
      </c>
      <c r="E305">
        <v>202</v>
      </c>
      <c r="F305">
        <v>180.7</v>
      </c>
      <c r="G305">
        <v>156.19999999999999</v>
      </c>
      <c r="H305">
        <v>183.7</v>
      </c>
      <c r="I305">
        <v>164.6</v>
      </c>
      <c r="J305">
        <v>155.4</v>
      </c>
      <c r="K305">
        <v>166</v>
      </c>
      <c r="L305">
        <v>115.1</v>
      </c>
      <c r="M305">
        <v>168.5</v>
      </c>
      <c r="N305">
        <v>160</v>
      </c>
      <c r="O305">
        <v>172.4</v>
      </c>
      <c r="P305">
        <v>162.6</v>
      </c>
      <c r="Q305">
        <v>190.8</v>
      </c>
      <c r="R305">
        <v>162.19999999999999</v>
      </c>
      <c r="S305">
        <v>151.80000000000001</v>
      </c>
      <c r="T305">
        <v>160.69999999999999</v>
      </c>
      <c r="U305" t="s">
        <v>143</v>
      </c>
      <c r="V305">
        <v>159.80000000000001</v>
      </c>
      <c r="W305">
        <v>154.80000000000001</v>
      </c>
      <c r="X305">
        <v>166.3</v>
      </c>
      <c r="Y305">
        <v>150.69999999999999</v>
      </c>
      <c r="Z305">
        <v>154.9</v>
      </c>
      <c r="AA305">
        <v>161.69999999999999</v>
      </c>
      <c r="AB305">
        <v>158.80000000000001</v>
      </c>
      <c r="AC305">
        <v>157.6</v>
      </c>
      <c r="AD305">
        <v>161.30000000000001</v>
      </c>
    </row>
    <row r="306" spans="1:30" x14ac:dyDescent="0.3">
      <c r="A306" t="s">
        <v>30</v>
      </c>
      <c r="B306">
        <v>2021</v>
      </c>
      <c r="C306" t="s">
        <v>44</v>
      </c>
      <c r="D306">
        <v>145.1</v>
      </c>
      <c r="E306">
        <v>204.5</v>
      </c>
      <c r="F306">
        <v>180.4</v>
      </c>
      <c r="G306">
        <v>157.1</v>
      </c>
      <c r="H306">
        <v>188.7</v>
      </c>
      <c r="I306">
        <v>157.69999999999999</v>
      </c>
      <c r="J306">
        <v>152.80000000000001</v>
      </c>
      <c r="K306">
        <v>163.6</v>
      </c>
      <c r="L306">
        <v>113.9</v>
      </c>
      <c r="M306">
        <v>169.7</v>
      </c>
      <c r="N306">
        <v>166.2</v>
      </c>
      <c r="O306">
        <v>171</v>
      </c>
      <c r="P306">
        <v>161.69999999999999</v>
      </c>
      <c r="Q306">
        <v>189.7</v>
      </c>
      <c r="R306">
        <v>166</v>
      </c>
      <c r="S306">
        <v>161.1</v>
      </c>
      <c r="T306">
        <v>165.3</v>
      </c>
      <c r="U306" t="s">
        <v>32</v>
      </c>
      <c r="V306">
        <v>162.5</v>
      </c>
      <c r="W306">
        <v>160.30000000000001</v>
      </c>
      <c r="X306">
        <v>170.4</v>
      </c>
      <c r="Y306">
        <v>157.1</v>
      </c>
      <c r="Z306">
        <v>160.69999999999999</v>
      </c>
      <c r="AA306">
        <v>167.2</v>
      </c>
      <c r="AB306">
        <v>160.4</v>
      </c>
      <c r="AC306">
        <v>162.80000000000001</v>
      </c>
      <c r="AD306">
        <v>163.19999999999999</v>
      </c>
    </row>
    <row r="307" spans="1:30" x14ac:dyDescent="0.3">
      <c r="A307" t="s">
        <v>33</v>
      </c>
      <c r="B307">
        <v>2021</v>
      </c>
      <c r="C307" t="s">
        <v>44</v>
      </c>
      <c r="D307">
        <v>149.1</v>
      </c>
      <c r="E307">
        <v>210.9</v>
      </c>
      <c r="F307">
        <v>185</v>
      </c>
      <c r="G307">
        <v>158.19999999999999</v>
      </c>
      <c r="H307">
        <v>170.6</v>
      </c>
      <c r="I307">
        <v>170.9</v>
      </c>
      <c r="J307">
        <v>186.4</v>
      </c>
      <c r="K307">
        <v>164.7</v>
      </c>
      <c r="L307">
        <v>115.7</v>
      </c>
      <c r="M307">
        <v>165.5</v>
      </c>
      <c r="N307">
        <v>153.4</v>
      </c>
      <c r="O307">
        <v>173.5</v>
      </c>
      <c r="P307">
        <v>167.9</v>
      </c>
      <c r="Q307">
        <v>195.5</v>
      </c>
      <c r="R307">
        <v>157.9</v>
      </c>
      <c r="S307">
        <v>141.9</v>
      </c>
      <c r="T307">
        <v>155.5</v>
      </c>
      <c r="U307" t="s">
        <v>144</v>
      </c>
      <c r="V307">
        <v>157.69999999999999</v>
      </c>
      <c r="W307">
        <v>150.69999999999999</v>
      </c>
      <c r="X307">
        <v>161.5</v>
      </c>
      <c r="Y307">
        <v>149.5</v>
      </c>
      <c r="Z307">
        <v>151.19999999999999</v>
      </c>
      <c r="AA307">
        <v>160.30000000000001</v>
      </c>
      <c r="AB307">
        <v>159.6</v>
      </c>
      <c r="AC307">
        <v>155</v>
      </c>
      <c r="AD307">
        <v>161.80000000000001</v>
      </c>
    </row>
    <row r="308" spans="1:30" x14ac:dyDescent="0.3">
      <c r="A308" t="s">
        <v>35</v>
      </c>
      <c r="B308">
        <v>2021</v>
      </c>
      <c r="C308" t="s">
        <v>44</v>
      </c>
      <c r="D308">
        <v>146.4</v>
      </c>
      <c r="E308">
        <v>206.8</v>
      </c>
      <c r="F308">
        <v>182.2</v>
      </c>
      <c r="G308">
        <v>157.5</v>
      </c>
      <c r="H308">
        <v>182.1</v>
      </c>
      <c r="I308">
        <v>163.9</v>
      </c>
      <c r="J308">
        <v>164.2</v>
      </c>
      <c r="K308">
        <v>164</v>
      </c>
      <c r="L308">
        <v>114.5</v>
      </c>
      <c r="M308">
        <v>168.3</v>
      </c>
      <c r="N308">
        <v>160.9</v>
      </c>
      <c r="O308">
        <v>172.2</v>
      </c>
      <c r="P308">
        <v>164</v>
      </c>
      <c r="Q308">
        <v>191.2</v>
      </c>
      <c r="R308">
        <v>162.80000000000001</v>
      </c>
      <c r="S308">
        <v>153.1</v>
      </c>
      <c r="T308">
        <v>161.4</v>
      </c>
      <c r="U308" t="s">
        <v>144</v>
      </c>
      <c r="V308">
        <v>160.69999999999999</v>
      </c>
      <c r="W308">
        <v>155.80000000000001</v>
      </c>
      <c r="X308">
        <v>167</v>
      </c>
      <c r="Y308">
        <v>153.1</v>
      </c>
      <c r="Z308">
        <v>155.30000000000001</v>
      </c>
      <c r="AA308">
        <v>163.19999999999999</v>
      </c>
      <c r="AB308">
        <v>160.1</v>
      </c>
      <c r="AC308">
        <v>159</v>
      </c>
      <c r="AD308">
        <v>162.5</v>
      </c>
    </row>
    <row r="309" spans="1:30" x14ac:dyDescent="0.3">
      <c r="A309" t="s">
        <v>30</v>
      </c>
      <c r="B309">
        <v>2021</v>
      </c>
      <c r="C309" t="s">
        <v>46</v>
      </c>
      <c r="D309">
        <v>144.9</v>
      </c>
      <c r="E309">
        <v>202.3</v>
      </c>
      <c r="F309">
        <v>176.5</v>
      </c>
      <c r="G309">
        <v>157.5</v>
      </c>
      <c r="H309">
        <v>190.9</v>
      </c>
      <c r="I309">
        <v>155.69999999999999</v>
      </c>
      <c r="J309">
        <v>153.9</v>
      </c>
      <c r="K309">
        <v>162.80000000000001</v>
      </c>
      <c r="L309">
        <v>115.2</v>
      </c>
      <c r="M309">
        <v>169.8</v>
      </c>
      <c r="N309">
        <v>167.6</v>
      </c>
      <c r="O309">
        <v>171.9</v>
      </c>
      <c r="P309">
        <v>161.80000000000001</v>
      </c>
      <c r="Q309">
        <v>190.2</v>
      </c>
      <c r="R309">
        <v>167</v>
      </c>
      <c r="S309">
        <v>162.6</v>
      </c>
      <c r="T309">
        <v>166.3</v>
      </c>
      <c r="U309" t="s">
        <v>32</v>
      </c>
      <c r="V309">
        <v>163.1</v>
      </c>
      <c r="W309">
        <v>160.9</v>
      </c>
      <c r="X309">
        <v>171.1</v>
      </c>
      <c r="Y309">
        <v>157.69999999999999</v>
      </c>
      <c r="Z309">
        <v>161.1</v>
      </c>
      <c r="AA309">
        <v>167.5</v>
      </c>
      <c r="AB309">
        <v>160.30000000000001</v>
      </c>
      <c r="AC309">
        <v>163.30000000000001</v>
      </c>
      <c r="AD309">
        <v>163.6</v>
      </c>
    </row>
    <row r="310" spans="1:30" x14ac:dyDescent="0.3">
      <c r="A310" t="s">
        <v>33</v>
      </c>
      <c r="B310">
        <v>2021</v>
      </c>
      <c r="C310" t="s">
        <v>46</v>
      </c>
      <c r="D310">
        <v>149.30000000000001</v>
      </c>
      <c r="E310">
        <v>207.4</v>
      </c>
      <c r="F310">
        <v>174.1</v>
      </c>
      <c r="G310">
        <v>159.19999999999999</v>
      </c>
      <c r="H310">
        <v>175</v>
      </c>
      <c r="I310">
        <v>161.30000000000001</v>
      </c>
      <c r="J310">
        <v>183.3</v>
      </c>
      <c r="K310">
        <v>164.5</v>
      </c>
      <c r="L310">
        <v>120.4</v>
      </c>
      <c r="M310">
        <v>166.2</v>
      </c>
      <c r="N310">
        <v>154.80000000000001</v>
      </c>
      <c r="O310">
        <v>175.1</v>
      </c>
      <c r="P310">
        <v>167.3</v>
      </c>
      <c r="Q310">
        <v>196.5</v>
      </c>
      <c r="R310">
        <v>159.80000000000001</v>
      </c>
      <c r="S310">
        <v>143.6</v>
      </c>
      <c r="T310">
        <v>157.30000000000001</v>
      </c>
      <c r="U310" t="s">
        <v>145</v>
      </c>
      <c r="V310">
        <v>160.69999999999999</v>
      </c>
      <c r="W310">
        <v>153.19999999999999</v>
      </c>
      <c r="X310">
        <v>162.80000000000001</v>
      </c>
      <c r="Y310">
        <v>150.4</v>
      </c>
      <c r="Z310">
        <v>153.69999999999999</v>
      </c>
      <c r="AA310">
        <v>160.4</v>
      </c>
      <c r="AB310">
        <v>159.6</v>
      </c>
      <c r="AC310">
        <v>156</v>
      </c>
      <c r="AD310">
        <v>162.30000000000001</v>
      </c>
    </row>
    <row r="311" spans="1:30" x14ac:dyDescent="0.3">
      <c r="A311" t="s">
        <v>35</v>
      </c>
      <c r="B311">
        <v>2021</v>
      </c>
      <c r="C311" t="s">
        <v>46</v>
      </c>
      <c r="D311">
        <v>146.6</v>
      </c>
      <c r="E311">
        <v>204</v>
      </c>
      <c r="F311">
        <v>172.8</v>
      </c>
      <c r="G311">
        <v>158.4</v>
      </c>
      <c r="H311">
        <v>188</v>
      </c>
      <c r="I311">
        <v>156.80000000000001</v>
      </c>
      <c r="J311">
        <v>162.19999999999999</v>
      </c>
      <c r="K311">
        <v>164.1</v>
      </c>
      <c r="L311">
        <v>119.7</v>
      </c>
      <c r="M311">
        <v>168.8</v>
      </c>
      <c r="N311">
        <v>162.69999999999999</v>
      </c>
      <c r="O311">
        <v>173.9</v>
      </c>
      <c r="P311">
        <v>164</v>
      </c>
      <c r="Q311">
        <v>192.1</v>
      </c>
      <c r="R311">
        <v>164.5</v>
      </c>
      <c r="S311">
        <v>155.30000000000001</v>
      </c>
      <c r="T311">
        <v>163.19999999999999</v>
      </c>
      <c r="U311" t="s">
        <v>145</v>
      </c>
      <c r="V311">
        <v>162.6</v>
      </c>
      <c r="W311">
        <v>157.5</v>
      </c>
      <c r="X311">
        <v>168.4</v>
      </c>
      <c r="Y311">
        <v>154</v>
      </c>
      <c r="Z311">
        <v>157.6</v>
      </c>
      <c r="AA311">
        <v>163.80000000000001</v>
      </c>
      <c r="AB311">
        <v>160</v>
      </c>
      <c r="AC311">
        <v>160</v>
      </c>
      <c r="AD311">
        <v>163.19999999999999</v>
      </c>
    </row>
    <row r="312" spans="1:30" x14ac:dyDescent="0.3">
      <c r="A312" t="s">
        <v>30</v>
      </c>
      <c r="B312">
        <v>2021</v>
      </c>
      <c r="C312" t="s">
        <v>48</v>
      </c>
      <c r="D312">
        <v>145.4</v>
      </c>
      <c r="E312">
        <v>202.1</v>
      </c>
      <c r="F312">
        <v>172</v>
      </c>
      <c r="G312">
        <v>158</v>
      </c>
      <c r="H312">
        <v>195.5</v>
      </c>
      <c r="I312">
        <v>152.69999999999999</v>
      </c>
      <c r="J312">
        <v>151.4</v>
      </c>
      <c r="K312">
        <v>163.9</v>
      </c>
      <c r="L312">
        <v>119.3</v>
      </c>
      <c r="M312">
        <v>170.1</v>
      </c>
      <c r="N312">
        <v>168.3</v>
      </c>
      <c r="O312">
        <v>172.8</v>
      </c>
      <c r="P312">
        <v>162.1</v>
      </c>
      <c r="Q312">
        <v>190.5</v>
      </c>
      <c r="R312">
        <v>167.7</v>
      </c>
      <c r="S312">
        <v>163.6</v>
      </c>
      <c r="T312">
        <v>167.1</v>
      </c>
      <c r="U312" t="s">
        <v>32</v>
      </c>
      <c r="V312">
        <v>163.69999999999999</v>
      </c>
      <c r="W312">
        <v>161.30000000000001</v>
      </c>
      <c r="X312">
        <v>171.9</v>
      </c>
      <c r="Y312">
        <v>157.80000000000001</v>
      </c>
      <c r="Z312">
        <v>162.69999999999999</v>
      </c>
      <c r="AA312">
        <v>168.5</v>
      </c>
      <c r="AB312">
        <v>160.19999999999999</v>
      </c>
      <c r="AC312">
        <v>163.80000000000001</v>
      </c>
      <c r="AD312">
        <v>164</v>
      </c>
    </row>
    <row r="313" spans="1:30" x14ac:dyDescent="0.3">
      <c r="A313" t="s">
        <v>33</v>
      </c>
      <c r="B313">
        <v>2021</v>
      </c>
      <c r="C313" t="s">
        <v>48</v>
      </c>
      <c r="D313">
        <v>149.30000000000001</v>
      </c>
      <c r="E313">
        <v>207.4</v>
      </c>
      <c r="F313">
        <v>174.1</v>
      </c>
      <c r="G313">
        <v>159.1</v>
      </c>
      <c r="H313">
        <v>175</v>
      </c>
      <c r="I313">
        <v>161.19999999999999</v>
      </c>
      <c r="J313">
        <v>183.5</v>
      </c>
      <c r="K313">
        <v>164.5</v>
      </c>
      <c r="L313">
        <v>120.4</v>
      </c>
      <c r="M313">
        <v>166.2</v>
      </c>
      <c r="N313">
        <v>154.80000000000001</v>
      </c>
      <c r="O313">
        <v>175.1</v>
      </c>
      <c r="P313">
        <v>167.3</v>
      </c>
      <c r="Q313">
        <v>196.5</v>
      </c>
      <c r="R313">
        <v>159.80000000000001</v>
      </c>
      <c r="S313">
        <v>143.6</v>
      </c>
      <c r="T313">
        <v>157.4</v>
      </c>
      <c r="U313" t="s">
        <v>145</v>
      </c>
      <c r="V313">
        <v>160.80000000000001</v>
      </c>
      <c r="W313">
        <v>153.30000000000001</v>
      </c>
      <c r="X313">
        <v>162.80000000000001</v>
      </c>
      <c r="Y313">
        <v>150.5</v>
      </c>
      <c r="Z313">
        <v>153.9</v>
      </c>
      <c r="AA313">
        <v>160.30000000000001</v>
      </c>
      <c r="AB313">
        <v>159.6</v>
      </c>
      <c r="AC313">
        <v>156</v>
      </c>
      <c r="AD313">
        <v>162.30000000000001</v>
      </c>
    </row>
    <row r="314" spans="1:30" x14ac:dyDescent="0.3">
      <c r="A314" t="s">
        <v>35</v>
      </c>
      <c r="B314">
        <v>2021</v>
      </c>
      <c r="C314" t="s">
        <v>48</v>
      </c>
      <c r="D314">
        <v>146.6</v>
      </c>
      <c r="E314">
        <v>204</v>
      </c>
      <c r="F314">
        <v>172.8</v>
      </c>
      <c r="G314">
        <v>158.4</v>
      </c>
      <c r="H314">
        <v>188</v>
      </c>
      <c r="I314">
        <v>156.69999999999999</v>
      </c>
      <c r="J314">
        <v>162.30000000000001</v>
      </c>
      <c r="K314">
        <v>164.1</v>
      </c>
      <c r="L314">
        <v>119.7</v>
      </c>
      <c r="M314">
        <v>168.8</v>
      </c>
      <c r="N314">
        <v>162.69999999999999</v>
      </c>
      <c r="O314">
        <v>173.9</v>
      </c>
      <c r="P314">
        <v>164</v>
      </c>
      <c r="Q314">
        <v>192.1</v>
      </c>
      <c r="R314">
        <v>164.6</v>
      </c>
      <c r="S314">
        <v>155.30000000000001</v>
      </c>
      <c r="T314">
        <v>163.30000000000001</v>
      </c>
      <c r="U314" t="s">
        <v>145</v>
      </c>
      <c r="V314">
        <v>162.6</v>
      </c>
      <c r="W314">
        <v>157.5</v>
      </c>
      <c r="X314">
        <v>168.4</v>
      </c>
      <c r="Y314">
        <v>154</v>
      </c>
      <c r="Z314">
        <v>157.69999999999999</v>
      </c>
      <c r="AA314">
        <v>163.69999999999999</v>
      </c>
      <c r="AB314">
        <v>160</v>
      </c>
      <c r="AC314">
        <v>160</v>
      </c>
      <c r="AD314">
        <v>163.19999999999999</v>
      </c>
    </row>
    <row r="315" spans="1:30" x14ac:dyDescent="0.3">
      <c r="A315" t="s">
        <v>30</v>
      </c>
      <c r="B315">
        <v>2021</v>
      </c>
      <c r="C315" t="s">
        <v>50</v>
      </c>
      <c r="D315">
        <v>146.1</v>
      </c>
      <c r="E315">
        <v>202.5</v>
      </c>
      <c r="F315">
        <v>170.1</v>
      </c>
      <c r="G315">
        <v>158.4</v>
      </c>
      <c r="H315">
        <v>198.8</v>
      </c>
      <c r="I315">
        <v>152.6</v>
      </c>
      <c r="J315">
        <v>170.4</v>
      </c>
      <c r="K315">
        <v>165.2</v>
      </c>
      <c r="L315">
        <v>121.6</v>
      </c>
      <c r="M315">
        <v>170.6</v>
      </c>
      <c r="N315">
        <v>168.8</v>
      </c>
      <c r="O315">
        <v>173.6</v>
      </c>
      <c r="P315">
        <v>165.5</v>
      </c>
      <c r="Q315">
        <v>191.2</v>
      </c>
      <c r="R315">
        <v>168.9</v>
      </c>
      <c r="S315">
        <v>164.8</v>
      </c>
      <c r="T315">
        <v>168.3</v>
      </c>
      <c r="U315" t="s">
        <v>32</v>
      </c>
      <c r="V315">
        <v>165.5</v>
      </c>
      <c r="W315">
        <v>162</v>
      </c>
      <c r="X315">
        <v>172.5</v>
      </c>
      <c r="Y315">
        <v>159.5</v>
      </c>
      <c r="Z315">
        <v>163.19999999999999</v>
      </c>
      <c r="AA315">
        <v>169</v>
      </c>
      <c r="AB315">
        <v>161.1</v>
      </c>
      <c r="AC315">
        <v>164.7</v>
      </c>
      <c r="AD315">
        <v>166.3</v>
      </c>
    </row>
    <row r="316" spans="1:30" x14ac:dyDescent="0.3">
      <c r="A316" t="s">
        <v>33</v>
      </c>
      <c r="B316">
        <v>2021</v>
      </c>
      <c r="C316" t="s">
        <v>50</v>
      </c>
      <c r="D316">
        <v>150.1</v>
      </c>
      <c r="E316">
        <v>208.4</v>
      </c>
      <c r="F316">
        <v>173</v>
      </c>
      <c r="G316">
        <v>159.19999999999999</v>
      </c>
      <c r="H316">
        <v>176.6</v>
      </c>
      <c r="I316">
        <v>159.30000000000001</v>
      </c>
      <c r="J316">
        <v>214.4</v>
      </c>
      <c r="K316">
        <v>165.3</v>
      </c>
      <c r="L316">
        <v>122.5</v>
      </c>
      <c r="M316">
        <v>166.8</v>
      </c>
      <c r="N316">
        <v>155.4</v>
      </c>
      <c r="O316">
        <v>175.9</v>
      </c>
      <c r="P316">
        <v>171.5</v>
      </c>
      <c r="Q316">
        <v>197</v>
      </c>
      <c r="R316">
        <v>160.80000000000001</v>
      </c>
      <c r="S316">
        <v>144.4</v>
      </c>
      <c r="T316">
        <v>158.30000000000001</v>
      </c>
      <c r="U316" t="s">
        <v>146</v>
      </c>
      <c r="V316">
        <v>162.19999999999999</v>
      </c>
      <c r="W316">
        <v>154.30000000000001</v>
      </c>
      <c r="X316">
        <v>163.5</v>
      </c>
      <c r="Y316">
        <v>152.19999999999999</v>
      </c>
      <c r="Z316">
        <v>155.1</v>
      </c>
      <c r="AA316">
        <v>160.30000000000001</v>
      </c>
      <c r="AB316">
        <v>160.30000000000001</v>
      </c>
      <c r="AC316">
        <v>157</v>
      </c>
      <c r="AD316">
        <v>164.6</v>
      </c>
    </row>
    <row r="317" spans="1:30" x14ac:dyDescent="0.3">
      <c r="A317" t="s">
        <v>35</v>
      </c>
      <c r="B317">
        <v>2021</v>
      </c>
      <c r="C317" t="s">
        <v>50</v>
      </c>
      <c r="D317">
        <v>147.4</v>
      </c>
      <c r="E317">
        <v>204.6</v>
      </c>
      <c r="F317">
        <v>171.2</v>
      </c>
      <c r="G317">
        <v>158.69999999999999</v>
      </c>
      <c r="H317">
        <v>190.6</v>
      </c>
      <c r="I317">
        <v>155.69999999999999</v>
      </c>
      <c r="J317">
        <v>185.3</v>
      </c>
      <c r="K317">
        <v>165.2</v>
      </c>
      <c r="L317">
        <v>121.9</v>
      </c>
      <c r="M317">
        <v>169.3</v>
      </c>
      <c r="N317">
        <v>163.19999999999999</v>
      </c>
      <c r="O317">
        <v>174.7</v>
      </c>
      <c r="P317">
        <v>167.7</v>
      </c>
      <c r="Q317">
        <v>192.7</v>
      </c>
      <c r="R317">
        <v>165.7</v>
      </c>
      <c r="S317">
        <v>156.30000000000001</v>
      </c>
      <c r="T317">
        <v>164.3</v>
      </c>
      <c r="U317" t="s">
        <v>146</v>
      </c>
      <c r="V317">
        <v>164.2</v>
      </c>
      <c r="W317">
        <v>158.4</v>
      </c>
      <c r="X317">
        <v>169.1</v>
      </c>
      <c r="Y317">
        <v>155.69999999999999</v>
      </c>
      <c r="Z317">
        <v>158.6</v>
      </c>
      <c r="AA317">
        <v>163.9</v>
      </c>
      <c r="AB317">
        <v>160.80000000000001</v>
      </c>
      <c r="AC317">
        <v>161</v>
      </c>
      <c r="AD317">
        <v>165.5</v>
      </c>
    </row>
    <row r="318" spans="1:30" x14ac:dyDescent="0.3">
      <c r="A318" t="s">
        <v>30</v>
      </c>
      <c r="B318">
        <v>2021</v>
      </c>
      <c r="C318" t="s">
        <v>53</v>
      </c>
      <c r="D318">
        <v>146.9</v>
      </c>
      <c r="E318">
        <v>199.8</v>
      </c>
      <c r="F318">
        <v>171.5</v>
      </c>
      <c r="G318">
        <v>159.1</v>
      </c>
      <c r="H318">
        <v>198.4</v>
      </c>
      <c r="I318">
        <v>153.19999999999999</v>
      </c>
      <c r="J318">
        <v>183.9</v>
      </c>
      <c r="K318">
        <v>165.4</v>
      </c>
      <c r="L318">
        <v>122.1</v>
      </c>
      <c r="M318">
        <v>170.8</v>
      </c>
      <c r="N318">
        <v>169.1</v>
      </c>
      <c r="O318">
        <v>174.3</v>
      </c>
      <c r="P318">
        <v>167.5</v>
      </c>
      <c r="Q318">
        <v>191.4</v>
      </c>
      <c r="R318">
        <v>170.4</v>
      </c>
      <c r="S318">
        <v>166</v>
      </c>
      <c r="T318">
        <v>169.8</v>
      </c>
      <c r="U318" t="s">
        <v>32</v>
      </c>
      <c r="V318">
        <v>165.3</v>
      </c>
      <c r="W318">
        <v>162.9</v>
      </c>
      <c r="X318">
        <v>173.4</v>
      </c>
      <c r="Y318">
        <v>158.9</v>
      </c>
      <c r="Z318">
        <v>163.80000000000001</v>
      </c>
      <c r="AA318">
        <v>169.3</v>
      </c>
      <c r="AB318">
        <v>162.4</v>
      </c>
      <c r="AC318">
        <v>165.2</v>
      </c>
      <c r="AD318">
        <v>167.6</v>
      </c>
    </row>
    <row r="319" spans="1:30" x14ac:dyDescent="0.3">
      <c r="A319" t="s">
        <v>33</v>
      </c>
      <c r="B319">
        <v>2021</v>
      </c>
      <c r="C319" t="s">
        <v>53</v>
      </c>
      <c r="D319">
        <v>151</v>
      </c>
      <c r="E319">
        <v>204.9</v>
      </c>
      <c r="F319">
        <v>175.4</v>
      </c>
      <c r="G319">
        <v>159.6</v>
      </c>
      <c r="H319">
        <v>175.8</v>
      </c>
      <c r="I319">
        <v>160.30000000000001</v>
      </c>
      <c r="J319">
        <v>229.1</v>
      </c>
      <c r="K319">
        <v>165.1</v>
      </c>
      <c r="L319">
        <v>123.1</v>
      </c>
      <c r="M319">
        <v>167.2</v>
      </c>
      <c r="N319">
        <v>156.1</v>
      </c>
      <c r="O319">
        <v>176.8</v>
      </c>
      <c r="P319">
        <v>173.5</v>
      </c>
      <c r="Q319">
        <v>197</v>
      </c>
      <c r="R319">
        <v>162.30000000000001</v>
      </c>
      <c r="S319">
        <v>145.30000000000001</v>
      </c>
      <c r="T319">
        <v>159.69999999999999</v>
      </c>
      <c r="U319" t="s">
        <v>147</v>
      </c>
      <c r="V319">
        <v>161.6</v>
      </c>
      <c r="W319">
        <v>155.19999999999999</v>
      </c>
      <c r="X319">
        <v>164.2</v>
      </c>
      <c r="Y319">
        <v>151.19999999999999</v>
      </c>
      <c r="Z319">
        <v>156.69999999999999</v>
      </c>
      <c r="AA319">
        <v>160.80000000000001</v>
      </c>
      <c r="AB319">
        <v>161.80000000000001</v>
      </c>
      <c r="AC319">
        <v>157.30000000000001</v>
      </c>
      <c r="AD319">
        <v>165.6</v>
      </c>
    </row>
    <row r="320" spans="1:30" x14ac:dyDescent="0.3">
      <c r="A320" t="s">
        <v>35</v>
      </c>
      <c r="B320">
        <v>2021</v>
      </c>
      <c r="C320" t="s">
        <v>53</v>
      </c>
      <c r="D320">
        <v>148.19999999999999</v>
      </c>
      <c r="E320">
        <v>201.6</v>
      </c>
      <c r="F320">
        <v>173</v>
      </c>
      <c r="G320">
        <v>159.30000000000001</v>
      </c>
      <c r="H320">
        <v>190.1</v>
      </c>
      <c r="I320">
        <v>156.5</v>
      </c>
      <c r="J320">
        <v>199.2</v>
      </c>
      <c r="K320">
        <v>165.3</v>
      </c>
      <c r="L320">
        <v>122.4</v>
      </c>
      <c r="M320">
        <v>169.6</v>
      </c>
      <c r="N320">
        <v>163.69999999999999</v>
      </c>
      <c r="O320">
        <v>175.5</v>
      </c>
      <c r="P320">
        <v>169.7</v>
      </c>
      <c r="Q320">
        <v>192.9</v>
      </c>
      <c r="R320">
        <v>167.2</v>
      </c>
      <c r="S320">
        <v>157.4</v>
      </c>
      <c r="T320">
        <v>165.8</v>
      </c>
      <c r="U320" t="s">
        <v>147</v>
      </c>
      <c r="V320">
        <v>163.9</v>
      </c>
      <c r="W320">
        <v>159.30000000000001</v>
      </c>
      <c r="X320">
        <v>169.9</v>
      </c>
      <c r="Y320">
        <v>154.80000000000001</v>
      </c>
      <c r="Z320">
        <v>159.80000000000001</v>
      </c>
      <c r="AA320">
        <v>164.3</v>
      </c>
      <c r="AB320">
        <v>162.19999999999999</v>
      </c>
      <c r="AC320">
        <v>161.4</v>
      </c>
      <c r="AD320">
        <v>166.7</v>
      </c>
    </row>
    <row r="321" spans="1:30" x14ac:dyDescent="0.3">
      <c r="A321" t="s">
        <v>30</v>
      </c>
      <c r="B321">
        <v>2021</v>
      </c>
      <c r="C321" t="s">
        <v>55</v>
      </c>
      <c r="D321">
        <v>147.4</v>
      </c>
      <c r="E321">
        <v>197</v>
      </c>
      <c r="F321">
        <v>176.5</v>
      </c>
      <c r="G321">
        <v>159.80000000000001</v>
      </c>
      <c r="H321">
        <v>195.8</v>
      </c>
      <c r="I321">
        <v>152</v>
      </c>
      <c r="J321">
        <v>172.3</v>
      </c>
      <c r="K321">
        <v>164.5</v>
      </c>
      <c r="L321">
        <v>120.6</v>
      </c>
      <c r="M321">
        <v>171.7</v>
      </c>
      <c r="N321">
        <v>169.7</v>
      </c>
      <c r="O321">
        <v>175.1</v>
      </c>
      <c r="P321">
        <v>165.8</v>
      </c>
      <c r="Q321">
        <v>190.8</v>
      </c>
      <c r="R321">
        <v>171.8</v>
      </c>
      <c r="S321">
        <v>167.3</v>
      </c>
      <c r="T321">
        <v>171.2</v>
      </c>
      <c r="U321" t="s">
        <v>32</v>
      </c>
      <c r="V321">
        <v>165.6</v>
      </c>
      <c r="W321">
        <v>163.9</v>
      </c>
      <c r="X321">
        <v>174</v>
      </c>
      <c r="Y321">
        <v>160.1</v>
      </c>
      <c r="Z321">
        <v>164.5</v>
      </c>
      <c r="AA321">
        <v>169.7</v>
      </c>
      <c r="AB321">
        <v>162.80000000000001</v>
      </c>
      <c r="AC321">
        <v>166</v>
      </c>
      <c r="AD321">
        <v>167</v>
      </c>
    </row>
    <row r="322" spans="1:30" x14ac:dyDescent="0.3">
      <c r="A322" t="s">
        <v>33</v>
      </c>
      <c r="B322">
        <v>2021</v>
      </c>
      <c r="C322" t="s">
        <v>55</v>
      </c>
      <c r="D322">
        <v>151.6</v>
      </c>
      <c r="E322">
        <v>202.2</v>
      </c>
      <c r="F322">
        <v>180</v>
      </c>
      <c r="G322">
        <v>160</v>
      </c>
      <c r="H322">
        <v>173.5</v>
      </c>
      <c r="I322">
        <v>158.30000000000001</v>
      </c>
      <c r="J322">
        <v>219.5</v>
      </c>
      <c r="K322">
        <v>164.2</v>
      </c>
      <c r="L322">
        <v>121.9</v>
      </c>
      <c r="M322">
        <v>168.2</v>
      </c>
      <c r="N322">
        <v>156.5</v>
      </c>
      <c r="O322">
        <v>178.2</v>
      </c>
      <c r="P322">
        <v>172.2</v>
      </c>
      <c r="Q322">
        <v>196.8</v>
      </c>
      <c r="R322">
        <v>163.30000000000001</v>
      </c>
      <c r="S322">
        <v>146.69999999999999</v>
      </c>
      <c r="T322">
        <v>160.69999999999999</v>
      </c>
      <c r="U322" t="s">
        <v>148</v>
      </c>
      <c r="V322">
        <v>161.69999999999999</v>
      </c>
      <c r="W322">
        <v>156</v>
      </c>
      <c r="X322">
        <v>165.1</v>
      </c>
      <c r="Y322">
        <v>151.80000000000001</v>
      </c>
      <c r="Z322">
        <v>157.6</v>
      </c>
      <c r="AA322">
        <v>160.6</v>
      </c>
      <c r="AB322">
        <v>162.4</v>
      </c>
      <c r="AC322">
        <v>157.80000000000001</v>
      </c>
      <c r="AD322">
        <v>165.2</v>
      </c>
    </row>
    <row r="323" spans="1:30" x14ac:dyDescent="0.3">
      <c r="A323" t="s">
        <v>35</v>
      </c>
      <c r="B323">
        <v>2021</v>
      </c>
      <c r="C323" t="s">
        <v>55</v>
      </c>
      <c r="D323">
        <v>148.69999999999999</v>
      </c>
      <c r="E323">
        <v>198.8</v>
      </c>
      <c r="F323">
        <v>177.9</v>
      </c>
      <c r="G323">
        <v>159.9</v>
      </c>
      <c r="H323">
        <v>187.6</v>
      </c>
      <c r="I323">
        <v>154.9</v>
      </c>
      <c r="J323">
        <v>188.3</v>
      </c>
      <c r="K323">
        <v>164.4</v>
      </c>
      <c r="L323">
        <v>121</v>
      </c>
      <c r="M323">
        <v>170.5</v>
      </c>
      <c r="N323">
        <v>164.2</v>
      </c>
      <c r="O323">
        <v>176.5</v>
      </c>
      <c r="P323">
        <v>168.2</v>
      </c>
      <c r="Q323">
        <v>192.4</v>
      </c>
      <c r="R323">
        <v>168.5</v>
      </c>
      <c r="S323">
        <v>158.69999999999999</v>
      </c>
      <c r="T323">
        <v>167</v>
      </c>
      <c r="U323" t="s">
        <v>148</v>
      </c>
      <c r="V323">
        <v>164.1</v>
      </c>
      <c r="W323">
        <v>160.19999999999999</v>
      </c>
      <c r="X323">
        <v>170.6</v>
      </c>
      <c r="Y323">
        <v>155.69999999999999</v>
      </c>
      <c r="Z323">
        <v>160.6</v>
      </c>
      <c r="AA323">
        <v>164.4</v>
      </c>
      <c r="AB323">
        <v>162.6</v>
      </c>
      <c r="AC323">
        <v>162</v>
      </c>
      <c r="AD323">
        <v>166.2</v>
      </c>
    </row>
    <row r="324" spans="1:30" x14ac:dyDescent="0.3">
      <c r="A324" t="s">
        <v>30</v>
      </c>
      <c r="B324">
        <v>2022</v>
      </c>
      <c r="C324" t="s">
        <v>31</v>
      </c>
      <c r="D324">
        <v>148.30000000000001</v>
      </c>
      <c r="E324">
        <v>196.9</v>
      </c>
      <c r="F324">
        <v>178</v>
      </c>
      <c r="G324">
        <v>160.5</v>
      </c>
      <c r="H324">
        <v>192.6</v>
      </c>
      <c r="I324">
        <v>151.19999999999999</v>
      </c>
      <c r="J324">
        <v>159.19999999999999</v>
      </c>
      <c r="K324">
        <v>164</v>
      </c>
      <c r="L324">
        <v>119.3</v>
      </c>
      <c r="M324">
        <v>173.3</v>
      </c>
      <c r="N324">
        <v>169.8</v>
      </c>
      <c r="O324">
        <v>175.8</v>
      </c>
      <c r="P324">
        <v>164.1</v>
      </c>
      <c r="Q324">
        <v>190.7</v>
      </c>
      <c r="R324">
        <v>173.2</v>
      </c>
      <c r="S324">
        <v>169.3</v>
      </c>
      <c r="T324">
        <v>172.7</v>
      </c>
      <c r="U324" t="s">
        <v>32</v>
      </c>
      <c r="V324">
        <v>165.8</v>
      </c>
      <c r="W324">
        <v>164.9</v>
      </c>
      <c r="X324">
        <v>174.7</v>
      </c>
      <c r="Y324">
        <v>160.80000000000001</v>
      </c>
      <c r="Z324">
        <v>164.9</v>
      </c>
      <c r="AA324">
        <v>169.9</v>
      </c>
      <c r="AB324">
        <v>163.19999999999999</v>
      </c>
      <c r="AC324">
        <v>166.6</v>
      </c>
      <c r="AD324">
        <v>166.4</v>
      </c>
    </row>
    <row r="325" spans="1:30" x14ac:dyDescent="0.3">
      <c r="A325" t="s">
        <v>33</v>
      </c>
      <c r="B325">
        <v>2022</v>
      </c>
      <c r="C325" t="s">
        <v>31</v>
      </c>
      <c r="D325">
        <v>152.19999999999999</v>
      </c>
      <c r="E325">
        <v>202.1</v>
      </c>
      <c r="F325">
        <v>180.1</v>
      </c>
      <c r="G325">
        <v>160.4</v>
      </c>
      <c r="H325">
        <v>171</v>
      </c>
      <c r="I325">
        <v>156.5</v>
      </c>
      <c r="J325">
        <v>203.6</v>
      </c>
      <c r="K325">
        <v>163.80000000000001</v>
      </c>
      <c r="L325">
        <v>121.3</v>
      </c>
      <c r="M325">
        <v>169.8</v>
      </c>
      <c r="N325">
        <v>156.6</v>
      </c>
      <c r="O325">
        <v>179</v>
      </c>
      <c r="P325">
        <v>170.3</v>
      </c>
      <c r="Q325">
        <v>196.4</v>
      </c>
      <c r="R325">
        <v>164.7</v>
      </c>
      <c r="S325">
        <v>148.5</v>
      </c>
      <c r="T325">
        <v>162.19999999999999</v>
      </c>
      <c r="U325" t="s">
        <v>149</v>
      </c>
      <c r="V325">
        <v>161.6</v>
      </c>
      <c r="W325">
        <v>156.80000000000001</v>
      </c>
      <c r="X325">
        <v>166.1</v>
      </c>
      <c r="Y325">
        <v>152.69999999999999</v>
      </c>
      <c r="Z325">
        <v>158.4</v>
      </c>
      <c r="AA325">
        <v>161</v>
      </c>
      <c r="AB325">
        <v>162.80000000000001</v>
      </c>
      <c r="AC325">
        <v>158.6</v>
      </c>
      <c r="AD325">
        <v>165</v>
      </c>
    </row>
    <row r="326" spans="1:30" x14ac:dyDescent="0.3">
      <c r="A326" t="s">
        <v>35</v>
      </c>
      <c r="B326">
        <v>2022</v>
      </c>
      <c r="C326" t="s">
        <v>31</v>
      </c>
      <c r="D326">
        <v>149.5</v>
      </c>
      <c r="E326">
        <v>198.7</v>
      </c>
      <c r="F326">
        <v>178.8</v>
      </c>
      <c r="G326">
        <v>160.5</v>
      </c>
      <c r="H326">
        <v>184.7</v>
      </c>
      <c r="I326">
        <v>153.69999999999999</v>
      </c>
      <c r="J326">
        <v>174.3</v>
      </c>
      <c r="K326">
        <v>163.9</v>
      </c>
      <c r="L326">
        <v>120</v>
      </c>
      <c r="M326">
        <v>172.1</v>
      </c>
      <c r="N326">
        <v>164.3</v>
      </c>
      <c r="O326">
        <v>177.3</v>
      </c>
      <c r="P326">
        <v>166.4</v>
      </c>
      <c r="Q326">
        <v>192.2</v>
      </c>
      <c r="R326">
        <v>169.9</v>
      </c>
      <c r="S326">
        <v>160.69999999999999</v>
      </c>
      <c r="T326">
        <v>168.5</v>
      </c>
      <c r="U326" t="s">
        <v>149</v>
      </c>
      <c r="V326">
        <v>164.2</v>
      </c>
      <c r="W326">
        <v>161.1</v>
      </c>
      <c r="X326">
        <v>171.4</v>
      </c>
      <c r="Y326">
        <v>156.5</v>
      </c>
      <c r="Z326">
        <v>161.19999999999999</v>
      </c>
      <c r="AA326">
        <v>164.7</v>
      </c>
      <c r="AB326">
        <v>163</v>
      </c>
      <c r="AC326">
        <v>162.69999999999999</v>
      </c>
      <c r="AD326">
        <v>165.7</v>
      </c>
    </row>
    <row r="327" spans="1:30" x14ac:dyDescent="0.3">
      <c r="A327" t="s">
        <v>30</v>
      </c>
      <c r="B327">
        <v>2022</v>
      </c>
      <c r="C327" t="s">
        <v>36</v>
      </c>
      <c r="D327">
        <v>148.80000000000001</v>
      </c>
      <c r="E327">
        <v>198.1</v>
      </c>
      <c r="F327">
        <v>175.5</v>
      </c>
      <c r="G327">
        <v>160.69999999999999</v>
      </c>
      <c r="H327">
        <v>192.6</v>
      </c>
      <c r="I327">
        <v>151.4</v>
      </c>
      <c r="J327">
        <v>155.19999999999999</v>
      </c>
      <c r="K327">
        <v>163.9</v>
      </c>
      <c r="L327">
        <v>118.1</v>
      </c>
      <c r="M327">
        <v>175.4</v>
      </c>
      <c r="N327">
        <v>170.5</v>
      </c>
      <c r="O327">
        <v>176.3</v>
      </c>
      <c r="P327">
        <v>163.9</v>
      </c>
      <c r="Q327">
        <v>191.5</v>
      </c>
      <c r="R327">
        <v>174.1</v>
      </c>
      <c r="S327">
        <v>171</v>
      </c>
      <c r="T327">
        <v>173.7</v>
      </c>
      <c r="U327" t="s">
        <v>32</v>
      </c>
      <c r="V327">
        <v>167.4</v>
      </c>
      <c r="W327">
        <v>165.7</v>
      </c>
      <c r="X327">
        <v>175.3</v>
      </c>
      <c r="Y327">
        <v>161.19999999999999</v>
      </c>
      <c r="Z327">
        <v>165.5</v>
      </c>
      <c r="AA327">
        <v>170.3</v>
      </c>
      <c r="AB327">
        <v>164.5</v>
      </c>
      <c r="AC327">
        <v>167.3</v>
      </c>
      <c r="AD327">
        <v>166.7</v>
      </c>
    </row>
    <row r="328" spans="1:30" x14ac:dyDescent="0.3">
      <c r="A328" t="s">
        <v>33</v>
      </c>
      <c r="B328">
        <v>2022</v>
      </c>
      <c r="C328" t="s">
        <v>36</v>
      </c>
      <c r="D328">
        <v>152.5</v>
      </c>
      <c r="E328">
        <v>205.2</v>
      </c>
      <c r="F328">
        <v>176.4</v>
      </c>
      <c r="G328">
        <v>160.6</v>
      </c>
      <c r="H328">
        <v>171.5</v>
      </c>
      <c r="I328">
        <v>156.4</v>
      </c>
      <c r="J328">
        <v>198</v>
      </c>
      <c r="K328">
        <v>163.19999999999999</v>
      </c>
      <c r="L328">
        <v>120.6</v>
      </c>
      <c r="M328">
        <v>172.2</v>
      </c>
      <c r="N328">
        <v>156.69999999999999</v>
      </c>
      <c r="O328">
        <v>180</v>
      </c>
      <c r="P328">
        <v>170.2</v>
      </c>
      <c r="Q328">
        <v>196.5</v>
      </c>
      <c r="R328">
        <v>165.7</v>
      </c>
      <c r="S328">
        <v>150.4</v>
      </c>
      <c r="T328">
        <v>163.4</v>
      </c>
      <c r="U328" t="s">
        <v>150</v>
      </c>
      <c r="V328">
        <v>163</v>
      </c>
      <c r="W328">
        <v>157.4</v>
      </c>
      <c r="X328">
        <v>167.2</v>
      </c>
      <c r="Y328">
        <v>153.1</v>
      </c>
      <c r="Z328">
        <v>159.5</v>
      </c>
      <c r="AA328">
        <v>162</v>
      </c>
      <c r="AB328">
        <v>164.2</v>
      </c>
      <c r="AC328">
        <v>159.4</v>
      </c>
      <c r="AD328">
        <v>165.5</v>
      </c>
    </row>
    <row r="329" spans="1:30" x14ac:dyDescent="0.3">
      <c r="A329" t="s">
        <v>35</v>
      </c>
      <c r="B329">
        <v>2022</v>
      </c>
      <c r="C329" t="s">
        <v>36</v>
      </c>
      <c r="D329">
        <v>150</v>
      </c>
      <c r="E329">
        <v>200.6</v>
      </c>
      <c r="F329">
        <v>175.8</v>
      </c>
      <c r="G329">
        <v>160.69999999999999</v>
      </c>
      <c r="H329">
        <v>184.9</v>
      </c>
      <c r="I329">
        <v>153.69999999999999</v>
      </c>
      <c r="J329">
        <v>169.7</v>
      </c>
      <c r="K329">
        <v>163.69999999999999</v>
      </c>
      <c r="L329">
        <v>118.9</v>
      </c>
      <c r="M329">
        <v>174.3</v>
      </c>
      <c r="N329">
        <v>164.7</v>
      </c>
      <c r="O329">
        <v>178</v>
      </c>
      <c r="P329">
        <v>166.2</v>
      </c>
      <c r="Q329">
        <v>192.8</v>
      </c>
      <c r="R329">
        <v>170.8</v>
      </c>
      <c r="S329">
        <v>162.4</v>
      </c>
      <c r="T329">
        <v>169.6</v>
      </c>
      <c r="U329" t="s">
        <v>150</v>
      </c>
      <c r="V329">
        <v>165.7</v>
      </c>
      <c r="W329">
        <v>161.80000000000001</v>
      </c>
      <c r="X329">
        <v>172.2</v>
      </c>
      <c r="Y329">
        <v>156.9</v>
      </c>
      <c r="Z329">
        <v>162.1</v>
      </c>
      <c r="AA329">
        <v>165.4</v>
      </c>
      <c r="AB329">
        <v>164.4</v>
      </c>
      <c r="AC329">
        <v>163.5</v>
      </c>
      <c r="AD329">
        <v>166.1</v>
      </c>
    </row>
    <row r="330" spans="1:30" x14ac:dyDescent="0.3">
      <c r="A330" t="s">
        <v>30</v>
      </c>
      <c r="B330">
        <v>2022</v>
      </c>
      <c r="C330" t="s">
        <v>38</v>
      </c>
      <c r="D330">
        <v>150.19999999999999</v>
      </c>
      <c r="E330">
        <v>208</v>
      </c>
      <c r="F330">
        <v>167.9</v>
      </c>
      <c r="G330">
        <v>162</v>
      </c>
      <c r="H330">
        <v>203.1</v>
      </c>
      <c r="I330">
        <v>155.9</v>
      </c>
      <c r="J330">
        <v>155.80000000000001</v>
      </c>
      <c r="K330">
        <v>164.2</v>
      </c>
      <c r="L330">
        <v>118.1</v>
      </c>
      <c r="M330">
        <v>178.7</v>
      </c>
      <c r="N330">
        <v>171.2</v>
      </c>
      <c r="O330">
        <v>177.4</v>
      </c>
      <c r="P330">
        <v>166.6</v>
      </c>
      <c r="Q330">
        <v>192.3</v>
      </c>
      <c r="R330">
        <v>175.4</v>
      </c>
      <c r="S330">
        <v>173.2</v>
      </c>
      <c r="T330">
        <v>175.1</v>
      </c>
      <c r="U330" t="s">
        <v>32</v>
      </c>
      <c r="V330">
        <v>168.9</v>
      </c>
      <c r="W330">
        <v>166.5</v>
      </c>
      <c r="X330">
        <v>176</v>
      </c>
      <c r="Y330">
        <v>162</v>
      </c>
      <c r="Z330">
        <v>166.6</v>
      </c>
      <c r="AA330">
        <v>170.6</v>
      </c>
      <c r="AB330">
        <v>167.4</v>
      </c>
      <c r="AC330">
        <v>168.3</v>
      </c>
      <c r="AD330">
        <v>168.7</v>
      </c>
    </row>
    <row r="331" spans="1:30" x14ac:dyDescent="0.3">
      <c r="A331" t="s">
        <v>33</v>
      </c>
      <c r="B331">
        <v>2022</v>
      </c>
      <c r="C331" t="s">
        <v>38</v>
      </c>
      <c r="D331">
        <v>153.69999999999999</v>
      </c>
      <c r="E331">
        <v>215.8</v>
      </c>
      <c r="F331">
        <v>167.7</v>
      </c>
      <c r="G331">
        <v>162.6</v>
      </c>
      <c r="H331">
        <v>180</v>
      </c>
      <c r="I331">
        <v>159.6</v>
      </c>
      <c r="J331">
        <v>188.4</v>
      </c>
      <c r="K331">
        <v>163.4</v>
      </c>
      <c r="L331">
        <v>120.3</v>
      </c>
      <c r="M331">
        <v>174.7</v>
      </c>
      <c r="N331">
        <v>157.1</v>
      </c>
      <c r="O331">
        <v>181.5</v>
      </c>
      <c r="P331">
        <v>171.5</v>
      </c>
      <c r="Q331">
        <v>197.5</v>
      </c>
      <c r="R331">
        <v>167.1</v>
      </c>
      <c r="S331">
        <v>152.6</v>
      </c>
      <c r="T331">
        <v>164.9</v>
      </c>
      <c r="U331" t="s">
        <v>151</v>
      </c>
      <c r="V331">
        <v>164.5</v>
      </c>
      <c r="W331">
        <v>158.6</v>
      </c>
      <c r="X331">
        <v>168.2</v>
      </c>
      <c r="Y331">
        <v>154.19999999999999</v>
      </c>
      <c r="Z331">
        <v>160.80000000000001</v>
      </c>
      <c r="AA331">
        <v>162.69999999999999</v>
      </c>
      <c r="AB331">
        <v>166.8</v>
      </c>
      <c r="AC331">
        <v>160.6</v>
      </c>
      <c r="AD331">
        <v>166.5</v>
      </c>
    </row>
    <row r="332" spans="1:30" x14ac:dyDescent="0.3">
      <c r="A332" t="s">
        <v>35</v>
      </c>
      <c r="B332">
        <v>2022</v>
      </c>
      <c r="C332" t="s">
        <v>38</v>
      </c>
      <c r="D332">
        <v>151.30000000000001</v>
      </c>
      <c r="E332">
        <v>210.7</v>
      </c>
      <c r="F332">
        <v>167.8</v>
      </c>
      <c r="G332">
        <v>162.19999999999999</v>
      </c>
      <c r="H332">
        <v>194.6</v>
      </c>
      <c r="I332">
        <v>157.6</v>
      </c>
      <c r="J332">
        <v>166.9</v>
      </c>
      <c r="K332">
        <v>163.9</v>
      </c>
      <c r="L332">
        <v>118.8</v>
      </c>
      <c r="M332">
        <v>177.4</v>
      </c>
      <c r="N332">
        <v>165.3</v>
      </c>
      <c r="O332">
        <v>179.3</v>
      </c>
      <c r="P332">
        <v>168.4</v>
      </c>
      <c r="Q332">
        <v>193.7</v>
      </c>
      <c r="R332">
        <v>172.1</v>
      </c>
      <c r="S332">
        <v>164.6</v>
      </c>
      <c r="T332">
        <v>171.1</v>
      </c>
      <c r="U332" t="s">
        <v>151</v>
      </c>
      <c r="V332">
        <v>167.2</v>
      </c>
      <c r="W332">
        <v>162.80000000000001</v>
      </c>
      <c r="X332">
        <v>173</v>
      </c>
      <c r="Y332">
        <v>157.9</v>
      </c>
      <c r="Z332">
        <v>163.30000000000001</v>
      </c>
      <c r="AA332">
        <v>166</v>
      </c>
      <c r="AB332">
        <v>167.2</v>
      </c>
      <c r="AC332">
        <v>164.6</v>
      </c>
      <c r="AD332">
        <v>167.7</v>
      </c>
    </row>
    <row r="333" spans="1:30" x14ac:dyDescent="0.3">
      <c r="A333" t="s">
        <v>30</v>
      </c>
      <c r="B333">
        <v>2022</v>
      </c>
      <c r="C333" t="s">
        <v>39</v>
      </c>
      <c r="D333">
        <v>151.80000000000001</v>
      </c>
      <c r="E333">
        <v>209.7</v>
      </c>
      <c r="F333">
        <v>164.5</v>
      </c>
      <c r="G333">
        <v>163.80000000000001</v>
      </c>
      <c r="H333">
        <v>207.4</v>
      </c>
      <c r="I333">
        <v>169.7</v>
      </c>
      <c r="J333">
        <v>153.6</v>
      </c>
      <c r="K333">
        <v>165.1</v>
      </c>
      <c r="L333">
        <v>118.2</v>
      </c>
      <c r="M333">
        <v>182.9</v>
      </c>
      <c r="N333">
        <v>172.4</v>
      </c>
      <c r="O333">
        <v>178.9</v>
      </c>
      <c r="P333">
        <v>168.6</v>
      </c>
      <c r="Q333">
        <v>192.8</v>
      </c>
      <c r="R333">
        <v>177.5</v>
      </c>
      <c r="S333">
        <v>175.1</v>
      </c>
      <c r="T333">
        <v>177.1</v>
      </c>
      <c r="U333" t="s">
        <v>32</v>
      </c>
      <c r="V333">
        <v>173.3</v>
      </c>
      <c r="W333">
        <v>167.7</v>
      </c>
      <c r="X333">
        <v>177</v>
      </c>
      <c r="Y333">
        <v>166.2</v>
      </c>
      <c r="Z333">
        <v>167.2</v>
      </c>
      <c r="AA333">
        <v>170.9</v>
      </c>
      <c r="AB333">
        <v>169</v>
      </c>
      <c r="AC333">
        <v>170.2</v>
      </c>
      <c r="AD333">
        <v>170.8</v>
      </c>
    </row>
    <row r="334" spans="1:30" x14ac:dyDescent="0.3">
      <c r="A334" t="s">
        <v>33</v>
      </c>
      <c r="B334">
        <v>2022</v>
      </c>
      <c r="C334" t="s">
        <v>39</v>
      </c>
      <c r="D334">
        <v>155.4</v>
      </c>
      <c r="E334">
        <v>215.8</v>
      </c>
      <c r="F334">
        <v>164.6</v>
      </c>
      <c r="G334">
        <v>164.2</v>
      </c>
      <c r="H334">
        <v>186</v>
      </c>
      <c r="I334">
        <v>175.9</v>
      </c>
      <c r="J334">
        <v>190.7</v>
      </c>
      <c r="K334">
        <v>164</v>
      </c>
      <c r="L334">
        <v>120.5</v>
      </c>
      <c r="M334">
        <v>178</v>
      </c>
      <c r="N334">
        <v>157.5</v>
      </c>
      <c r="O334">
        <v>183.3</v>
      </c>
      <c r="P334">
        <v>174.5</v>
      </c>
      <c r="Q334">
        <v>197.1</v>
      </c>
      <c r="R334">
        <v>168.4</v>
      </c>
      <c r="S334">
        <v>154.5</v>
      </c>
      <c r="T334">
        <v>166.3</v>
      </c>
      <c r="U334" t="s">
        <v>152</v>
      </c>
      <c r="V334">
        <v>170.5</v>
      </c>
      <c r="W334">
        <v>159.80000000000001</v>
      </c>
      <c r="X334">
        <v>169</v>
      </c>
      <c r="Y334">
        <v>159.30000000000001</v>
      </c>
      <c r="Z334">
        <v>162.19999999999999</v>
      </c>
      <c r="AA334">
        <v>164</v>
      </c>
      <c r="AB334">
        <v>168.4</v>
      </c>
      <c r="AC334">
        <v>163.1</v>
      </c>
      <c r="AD334">
        <v>169.2</v>
      </c>
    </row>
    <row r="335" spans="1:30" x14ac:dyDescent="0.3">
      <c r="A335" t="s">
        <v>35</v>
      </c>
      <c r="B335">
        <v>2022</v>
      </c>
      <c r="C335" t="s">
        <v>39</v>
      </c>
      <c r="D335">
        <v>152.9</v>
      </c>
      <c r="E335">
        <v>211.8</v>
      </c>
      <c r="F335">
        <v>164.5</v>
      </c>
      <c r="G335">
        <v>163.9</v>
      </c>
      <c r="H335">
        <v>199.5</v>
      </c>
      <c r="I335">
        <v>172.6</v>
      </c>
      <c r="J335">
        <v>166.2</v>
      </c>
      <c r="K335">
        <v>164.7</v>
      </c>
      <c r="L335">
        <v>119</v>
      </c>
      <c r="M335">
        <v>181.3</v>
      </c>
      <c r="N335">
        <v>166.2</v>
      </c>
      <c r="O335">
        <v>180.9</v>
      </c>
      <c r="P335">
        <v>170.8</v>
      </c>
      <c r="Q335">
        <v>193.9</v>
      </c>
      <c r="R335">
        <v>173.9</v>
      </c>
      <c r="S335">
        <v>166.5</v>
      </c>
      <c r="T335">
        <v>172.8</v>
      </c>
      <c r="U335" t="s">
        <v>152</v>
      </c>
      <c r="V335">
        <v>172.2</v>
      </c>
      <c r="W335">
        <v>164</v>
      </c>
      <c r="X335">
        <v>174</v>
      </c>
      <c r="Y335">
        <v>162.6</v>
      </c>
      <c r="Z335">
        <v>164.4</v>
      </c>
      <c r="AA335">
        <v>166.9</v>
      </c>
      <c r="AB335">
        <v>168.8</v>
      </c>
      <c r="AC335">
        <v>166.8</v>
      </c>
      <c r="AD335">
        <v>170.1</v>
      </c>
    </row>
    <row r="336" spans="1:30" x14ac:dyDescent="0.3">
      <c r="A336" t="s">
        <v>30</v>
      </c>
      <c r="B336">
        <v>2022</v>
      </c>
      <c r="C336" t="s">
        <v>41</v>
      </c>
      <c r="D336">
        <v>152.9</v>
      </c>
      <c r="E336">
        <v>214.7</v>
      </c>
      <c r="F336">
        <v>161.4</v>
      </c>
      <c r="G336">
        <v>164.6</v>
      </c>
      <c r="H336">
        <v>209.9</v>
      </c>
      <c r="I336">
        <v>168</v>
      </c>
      <c r="J336">
        <v>160.4</v>
      </c>
      <c r="K336">
        <v>165</v>
      </c>
      <c r="L336">
        <v>118.9</v>
      </c>
      <c r="M336">
        <v>186.6</v>
      </c>
      <c r="N336">
        <v>173.2</v>
      </c>
      <c r="O336">
        <v>180.4</v>
      </c>
      <c r="P336">
        <v>170.8</v>
      </c>
      <c r="Q336">
        <v>192.9</v>
      </c>
      <c r="R336">
        <v>179.3</v>
      </c>
      <c r="S336">
        <v>177.2</v>
      </c>
      <c r="T336">
        <v>179</v>
      </c>
      <c r="U336" t="s">
        <v>32</v>
      </c>
      <c r="V336">
        <v>175.3</v>
      </c>
      <c r="W336">
        <v>168.9</v>
      </c>
      <c r="X336">
        <v>177.7</v>
      </c>
      <c r="Y336">
        <v>167.1</v>
      </c>
      <c r="Z336">
        <v>167.6</v>
      </c>
      <c r="AA336">
        <v>171.8</v>
      </c>
      <c r="AB336">
        <v>168.5</v>
      </c>
      <c r="AC336">
        <v>170.9</v>
      </c>
      <c r="AD336">
        <v>172.5</v>
      </c>
    </row>
    <row r="337" spans="1:30" x14ac:dyDescent="0.3">
      <c r="A337" t="s">
        <v>33</v>
      </c>
      <c r="B337">
        <v>2022</v>
      </c>
      <c r="C337" t="s">
        <v>41</v>
      </c>
      <c r="D337">
        <v>156.69999999999999</v>
      </c>
      <c r="E337">
        <v>221.2</v>
      </c>
      <c r="F337">
        <v>164.1</v>
      </c>
      <c r="G337">
        <v>165.4</v>
      </c>
      <c r="H337">
        <v>189.5</v>
      </c>
      <c r="I337">
        <v>174.5</v>
      </c>
      <c r="J337">
        <v>203.2</v>
      </c>
      <c r="K337">
        <v>164.1</v>
      </c>
      <c r="L337">
        <v>121.2</v>
      </c>
      <c r="M337">
        <v>181.4</v>
      </c>
      <c r="N337">
        <v>158.5</v>
      </c>
      <c r="O337">
        <v>184.9</v>
      </c>
      <c r="P337">
        <v>177.5</v>
      </c>
      <c r="Q337">
        <v>197.5</v>
      </c>
      <c r="R337">
        <v>170</v>
      </c>
      <c r="S337">
        <v>155.9</v>
      </c>
      <c r="T337">
        <v>167.8</v>
      </c>
      <c r="U337" t="s">
        <v>153</v>
      </c>
      <c r="V337">
        <v>173.5</v>
      </c>
      <c r="W337">
        <v>161.1</v>
      </c>
      <c r="X337">
        <v>170.1</v>
      </c>
      <c r="Y337">
        <v>159.4</v>
      </c>
      <c r="Z337">
        <v>163.19999999999999</v>
      </c>
      <c r="AA337">
        <v>165.2</v>
      </c>
      <c r="AB337">
        <v>168.2</v>
      </c>
      <c r="AC337">
        <v>163.80000000000001</v>
      </c>
      <c r="AD337">
        <v>170.8</v>
      </c>
    </row>
    <row r="338" spans="1:30" x14ac:dyDescent="0.3">
      <c r="A338" t="s">
        <v>35</v>
      </c>
      <c r="B338">
        <v>2022</v>
      </c>
      <c r="C338" t="s">
        <v>41</v>
      </c>
      <c r="D338">
        <v>154.1</v>
      </c>
      <c r="E338">
        <v>217</v>
      </c>
      <c r="F338">
        <v>162.4</v>
      </c>
      <c r="G338">
        <v>164.9</v>
      </c>
      <c r="H338">
        <v>202.4</v>
      </c>
      <c r="I338">
        <v>171</v>
      </c>
      <c r="J338">
        <v>174.9</v>
      </c>
      <c r="K338">
        <v>164.7</v>
      </c>
      <c r="L338">
        <v>119.7</v>
      </c>
      <c r="M338">
        <v>184.9</v>
      </c>
      <c r="N338">
        <v>167.1</v>
      </c>
      <c r="O338">
        <v>182.5</v>
      </c>
      <c r="P338">
        <v>173.3</v>
      </c>
      <c r="Q338">
        <v>194.1</v>
      </c>
      <c r="R338">
        <v>175.6</v>
      </c>
      <c r="S338">
        <v>168.4</v>
      </c>
      <c r="T338">
        <v>174.6</v>
      </c>
      <c r="U338" t="s">
        <v>153</v>
      </c>
      <c r="V338">
        <v>174.6</v>
      </c>
      <c r="W338">
        <v>165.2</v>
      </c>
      <c r="X338">
        <v>174.8</v>
      </c>
      <c r="Y338">
        <v>163</v>
      </c>
      <c r="Z338">
        <v>165.1</v>
      </c>
      <c r="AA338">
        <v>167.9</v>
      </c>
      <c r="AB338">
        <v>168.4</v>
      </c>
      <c r="AC338">
        <v>167.5</v>
      </c>
      <c r="AD338">
        <v>171.7</v>
      </c>
    </row>
    <row r="339" spans="1:30" x14ac:dyDescent="0.3">
      <c r="A339" t="s">
        <v>30</v>
      </c>
      <c r="B339">
        <v>2022</v>
      </c>
      <c r="C339" t="s">
        <v>42</v>
      </c>
      <c r="D339">
        <v>153.80000000000001</v>
      </c>
      <c r="E339">
        <v>217.2</v>
      </c>
      <c r="F339">
        <v>169.6</v>
      </c>
      <c r="G339">
        <v>165.4</v>
      </c>
      <c r="H339">
        <v>208.1</v>
      </c>
      <c r="I339">
        <v>165.8</v>
      </c>
      <c r="J339">
        <v>167.3</v>
      </c>
      <c r="K339">
        <v>164.6</v>
      </c>
      <c r="L339">
        <v>119.1</v>
      </c>
      <c r="M339">
        <v>188.9</v>
      </c>
      <c r="N339">
        <v>174.2</v>
      </c>
      <c r="O339">
        <v>181.9</v>
      </c>
      <c r="P339">
        <v>172.4</v>
      </c>
      <c r="Q339">
        <v>192.9</v>
      </c>
      <c r="R339">
        <v>180.7</v>
      </c>
      <c r="S339">
        <v>178.7</v>
      </c>
      <c r="T339">
        <v>180.4</v>
      </c>
      <c r="U339" t="s">
        <v>32</v>
      </c>
      <c r="V339">
        <v>176.7</v>
      </c>
      <c r="W339">
        <v>170.3</v>
      </c>
      <c r="X339">
        <v>178.2</v>
      </c>
      <c r="Y339">
        <v>165.5</v>
      </c>
      <c r="Z339">
        <v>168</v>
      </c>
      <c r="AA339">
        <v>172.6</v>
      </c>
      <c r="AB339">
        <v>169.5</v>
      </c>
      <c r="AC339">
        <v>171</v>
      </c>
      <c r="AD339">
        <v>173.6</v>
      </c>
    </row>
    <row r="340" spans="1:30" x14ac:dyDescent="0.3">
      <c r="A340" t="s">
        <v>33</v>
      </c>
      <c r="B340">
        <v>2022</v>
      </c>
      <c r="C340" t="s">
        <v>42</v>
      </c>
      <c r="D340">
        <v>157.5</v>
      </c>
      <c r="E340">
        <v>223.4</v>
      </c>
      <c r="F340">
        <v>172.8</v>
      </c>
      <c r="G340">
        <v>166.4</v>
      </c>
      <c r="H340">
        <v>188.6</v>
      </c>
      <c r="I340">
        <v>174.1</v>
      </c>
      <c r="J340">
        <v>211.5</v>
      </c>
      <c r="K340">
        <v>163.6</v>
      </c>
      <c r="L340">
        <v>121.4</v>
      </c>
      <c r="M340">
        <v>183.5</v>
      </c>
      <c r="N340">
        <v>159.1</v>
      </c>
      <c r="O340">
        <v>186.3</v>
      </c>
      <c r="P340">
        <v>179.3</v>
      </c>
      <c r="Q340">
        <v>198.3</v>
      </c>
      <c r="R340">
        <v>171.6</v>
      </c>
      <c r="S340">
        <v>157.4</v>
      </c>
      <c r="T340">
        <v>169.4</v>
      </c>
      <c r="U340" t="s">
        <v>154</v>
      </c>
      <c r="V340">
        <v>174.9</v>
      </c>
      <c r="W340">
        <v>162.1</v>
      </c>
      <c r="X340">
        <v>170.9</v>
      </c>
      <c r="Y340">
        <v>157.19999999999999</v>
      </c>
      <c r="Z340">
        <v>164.1</v>
      </c>
      <c r="AA340">
        <v>166.5</v>
      </c>
      <c r="AB340">
        <v>169.2</v>
      </c>
      <c r="AC340">
        <v>163.80000000000001</v>
      </c>
      <c r="AD340">
        <v>171.4</v>
      </c>
    </row>
    <row r="341" spans="1:30" x14ac:dyDescent="0.3">
      <c r="A341" t="s">
        <v>35</v>
      </c>
      <c r="B341">
        <v>2022</v>
      </c>
      <c r="C341" t="s">
        <v>42</v>
      </c>
      <c r="D341">
        <v>155</v>
      </c>
      <c r="E341">
        <v>219.4</v>
      </c>
      <c r="F341">
        <v>170.8</v>
      </c>
      <c r="G341">
        <v>165.8</v>
      </c>
      <c r="H341">
        <v>200.9</v>
      </c>
      <c r="I341">
        <v>169.7</v>
      </c>
      <c r="J341">
        <v>182.3</v>
      </c>
      <c r="K341">
        <v>164.3</v>
      </c>
      <c r="L341">
        <v>119.9</v>
      </c>
      <c r="M341">
        <v>187.1</v>
      </c>
      <c r="N341">
        <v>167.9</v>
      </c>
      <c r="O341">
        <v>183.9</v>
      </c>
      <c r="P341">
        <v>174.9</v>
      </c>
      <c r="Q341">
        <v>194.3</v>
      </c>
      <c r="R341">
        <v>177.1</v>
      </c>
      <c r="S341">
        <v>169.9</v>
      </c>
      <c r="T341">
        <v>176</v>
      </c>
      <c r="U341" t="s">
        <v>154</v>
      </c>
      <c r="V341">
        <v>176</v>
      </c>
      <c r="W341">
        <v>166.4</v>
      </c>
      <c r="X341">
        <v>175.4</v>
      </c>
      <c r="Y341">
        <v>161.1</v>
      </c>
      <c r="Z341">
        <v>165.8</v>
      </c>
      <c r="AA341">
        <v>169</v>
      </c>
      <c r="AB341">
        <v>169.4</v>
      </c>
      <c r="AC341">
        <v>167.5</v>
      </c>
      <c r="AD341">
        <v>172.6</v>
      </c>
    </row>
    <row r="342" spans="1:30" x14ac:dyDescent="0.3">
      <c r="A342" t="s">
        <v>30</v>
      </c>
      <c r="B342">
        <v>2022</v>
      </c>
      <c r="C342" t="s">
        <v>44</v>
      </c>
      <c r="D342">
        <v>155.19999999999999</v>
      </c>
      <c r="E342">
        <v>210.8</v>
      </c>
      <c r="F342">
        <v>174.3</v>
      </c>
      <c r="G342">
        <v>166.3</v>
      </c>
      <c r="H342">
        <v>202.2</v>
      </c>
      <c r="I342">
        <v>169.6</v>
      </c>
      <c r="J342">
        <v>168.6</v>
      </c>
      <c r="K342">
        <v>164.4</v>
      </c>
      <c r="L342">
        <v>119.2</v>
      </c>
      <c r="M342">
        <v>191.8</v>
      </c>
      <c r="N342">
        <v>174.5</v>
      </c>
      <c r="O342">
        <v>183.1</v>
      </c>
      <c r="P342">
        <v>172.5</v>
      </c>
      <c r="Q342">
        <v>193.2</v>
      </c>
      <c r="R342">
        <v>182</v>
      </c>
      <c r="S342">
        <v>180.3</v>
      </c>
      <c r="T342">
        <v>181.7</v>
      </c>
      <c r="U342" t="s">
        <v>32</v>
      </c>
      <c r="V342">
        <v>179.6</v>
      </c>
      <c r="W342">
        <v>171.3</v>
      </c>
      <c r="X342">
        <v>178.8</v>
      </c>
      <c r="Y342">
        <v>166.3</v>
      </c>
      <c r="Z342">
        <v>168.6</v>
      </c>
      <c r="AA342">
        <v>174.7</v>
      </c>
      <c r="AB342">
        <v>169.7</v>
      </c>
      <c r="AC342">
        <v>171.8</v>
      </c>
      <c r="AD342">
        <v>174.3</v>
      </c>
    </row>
    <row r="343" spans="1:30" x14ac:dyDescent="0.3">
      <c r="A343" t="s">
        <v>33</v>
      </c>
      <c r="B343">
        <v>2022</v>
      </c>
      <c r="C343" t="s">
        <v>44</v>
      </c>
      <c r="D343">
        <v>159.30000000000001</v>
      </c>
      <c r="E343">
        <v>217.1</v>
      </c>
      <c r="F343">
        <v>176.6</v>
      </c>
      <c r="G343">
        <v>167.1</v>
      </c>
      <c r="H343">
        <v>184.8</v>
      </c>
      <c r="I343">
        <v>179.5</v>
      </c>
      <c r="J343">
        <v>208.5</v>
      </c>
      <c r="K343">
        <v>164</v>
      </c>
      <c r="L343">
        <v>121.5</v>
      </c>
      <c r="M343">
        <v>186.3</v>
      </c>
      <c r="N343">
        <v>159.80000000000001</v>
      </c>
      <c r="O343">
        <v>187.7</v>
      </c>
      <c r="P343">
        <v>179.4</v>
      </c>
      <c r="Q343">
        <v>198.6</v>
      </c>
      <c r="R343">
        <v>172.7</v>
      </c>
      <c r="S343">
        <v>158.69999999999999</v>
      </c>
      <c r="T343">
        <v>170.6</v>
      </c>
      <c r="U343" t="s">
        <v>155</v>
      </c>
      <c r="V343">
        <v>179.5</v>
      </c>
      <c r="W343">
        <v>163.1</v>
      </c>
      <c r="X343">
        <v>171.7</v>
      </c>
      <c r="Y343">
        <v>157.4</v>
      </c>
      <c r="Z343">
        <v>164.6</v>
      </c>
      <c r="AA343">
        <v>169.1</v>
      </c>
      <c r="AB343">
        <v>169.8</v>
      </c>
      <c r="AC343">
        <v>164.7</v>
      </c>
      <c r="AD343">
        <v>172.3</v>
      </c>
    </row>
    <row r="344" spans="1:30" x14ac:dyDescent="0.3">
      <c r="A344" t="s">
        <v>35</v>
      </c>
      <c r="B344">
        <v>2022</v>
      </c>
      <c r="C344" t="s">
        <v>44</v>
      </c>
      <c r="D344">
        <v>156.5</v>
      </c>
      <c r="E344">
        <v>213</v>
      </c>
      <c r="F344">
        <v>175.2</v>
      </c>
      <c r="G344">
        <v>166.6</v>
      </c>
      <c r="H344">
        <v>195.8</v>
      </c>
      <c r="I344">
        <v>174.2</v>
      </c>
      <c r="J344">
        <v>182.1</v>
      </c>
      <c r="K344">
        <v>164.3</v>
      </c>
      <c r="L344">
        <v>120</v>
      </c>
      <c r="M344">
        <v>190</v>
      </c>
      <c r="N344">
        <v>168.4</v>
      </c>
      <c r="O344">
        <v>185.2</v>
      </c>
      <c r="P344">
        <v>175</v>
      </c>
      <c r="Q344">
        <v>194.6</v>
      </c>
      <c r="R344">
        <v>178.3</v>
      </c>
      <c r="S344">
        <v>171.3</v>
      </c>
      <c r="T344">
        <v>177.3</v>
      </c>
      <c r="U344" t="s">
        <v>155</v>
      </c>
      <c r="V344">
        <v>179.6</v>
      </c>
      <c r="W344">
        <v>167.4</v>
      </c>
      <c r="X344">
        <v>176.1</v>
      </c>
      <c r="Y344">
        <v>161.6</v>
      </c>
      <c r="Z344">
        <v>166.3</v>
      </c>
      <c r="AA344">
        <v>171.4</v>
      </c>
      <c r="AB344">
        <v>169.7</v>
      </c>
      <c r="AC344">
        <v>168.4</v>
      </c>
      <c r="AD344">
        <v>173.4</v>
      </c>
    </row>
    <row r="345" spans="1:30" x14ac:dyDescent="0.3">
      <c r="A345" t="s">
        <v>30</v>
      </c>
      <c r="B345">
        <v>2022</v>
      </c>
      <c r="C345" t="s">
        <v>46</v>
      </c>
      <c r="D345">
        <v>159.5</v>
      </c>
      <c r="E345">
        <v>204.1</v>
      </c>
      <c r="F345">
        <v>168.3</v>
      </c>
      <c r="G345">
        <v>167.9</v>
      </c>
      <c r="H345">
        <v>198.1</v>
      </c>
      <c r="I345">
        <v>169.2</v>
      </c>
      <c r="J345">
        <v>173.1</v>
      </c>
      <c r="K345">
        <v>167.1</v>
      </c>
      <c r="L345">
        <v>120.2</v>
      </c>
      <c r="M345">
        <v>195.6</v>
      </c>
      <c r="N345">
        <v>174.8</v>
      </c>
      <c r="O345">
        <v>184</v>
      </c>
      <c r="P345">
        <v>173.9</v>
      </c>
      <c r="Q345">
        <v>193.7</v>
      </c>
      <c r="R345">
        <v>183.2</v>
      </c>
      <c r="S345">
        <v>181.7</v>
      </c>
      <c r="T345">
        <v>183</v>
      </c>
      <c r="U345" t="s">
        <v>32</v>
      </c>
      <c r="V345">
        <v>179.1</v>
      </c>
      <c r="W345">
        <v>172.3</v>
      </c>
      <c r="X345">
        <v>179.4</v>
      </c>
      <c r="Y345">
        <v>166.6</v>
      </c>
      <c r="Z345">
        <v>169.3</v>
      </c>
      <c r="AA345">
        <v>175.7</v>
      </c>
      <c r="AB345">
        <v>171.1</v>
      </c>
      <c r="AC345">
        <v>172.6</v>
      </c>
      <c r="AD345">
        <v>175.3</v>
      </c>
    </row>
    <row r="346" spans="1:30" x14ac:dyDescent="0.3">
      <c r="A346" t="s">
        <v>33</v>
      </c>
      <c r="B346">
        <v>2022</v>
      </c>
      <c r="C346" t="s">
        <v>46</v>
      </c>
      <c r="D346">
        <v>162.1</v>
      </c>
      <c r="E346">
        <v>210.9</v>
      </c>
      <c r="F346">
        <v>170.6</v>
      </c>
      <c r="G346">
        <v>168.4</v>
      </c>
      <c r="H346">
        <v>182.5</v>
      </c>
      <c r="I346">
        <v>177.1</v>
      </c>
      <c r="J346">
        <v>213.1</v>
      </c>
      <c r="K346">
        <v>167.3</v>
      </c>
      <c r="L346">
        <v>122.2</v>
      </c>
      <c r="M346">
        <v>189.7</v>
      </c>
      <c r="N346">
        <v>160.5</v>
      </c>
      <c r="O346">
        <v>188.9</v>
      </c>
      <c r="P346">
        <v>180.4</v>
      </c>
      <c r="Q346">
        <v>198.7</v>
      </c>
      <c r="R346">
        <v>173.7</v>
      </c>
      <c r="S346">
        <v>160</v>
      </c>
      <c r="T346">
        <v>171.6</v>
      </c>
      <c r="U346" t="s">
        <v>156</v>
      </c>
      <c r="V346">
        <v>178.4</v>
      </c>
      <c r="W346">
        <v>164.2</v>
      </c>
      <c r="X346">
        <v>172.6</v>
      </c>
      <c r="Y346">
        <v>157.69999999999999</v>
      </c>
      <c r="Z346">
        <v>165.1</v>
      </c>
      <c r="AA346">
        <v>169.9</v>
      </c>
      <c r="AB346">
        <v>171.4</v>
      </c>
      <c r="AC346">
        <v>165.4</v>
      </c>
      <c r="AD346">
        <v>173.1</v>
      </c>
    </row>
    <row r="347" spans="1:30" x14ac:dyDescent="0.3">
      <c r="A347" t="s">
        <v>35</v>
      </c>
      <c r="B347">
        <v>2022</v>
      </c>
      <c r="C347" t="s">
        <v>46</v>
      </c>
      <c r="D347">
        <v>160.30000000000001</v>
      </c>
      <c r="E347">
        <v>206.5</v>
      </c>
      <c r="F347">
        <v>169.2</v>
      </c>
      <c r="G347">
        <v>168.1</v>
      </c>
      <c r="H347">
        <v>192.4</v>
      </c>
      <c r="I347">
        <v>172.9</v>
      </c>
      <c r="J347">
        <v>186.7</v>
      </c>
      <c r="K347">
        <v>167.2</v>
      </c>
      <c r="L347">
        <v>120.9</v>
      </c>
      <c r="M347">
        <v>193.6</v>
      </c>
      <c r="N347">
        <v>168.8</v>
      </c>
      <c r="O347">
        <v>186.3</v>
      </c>
      <c r="P347">
        <v>176.3</v>
      </c>
      <c r="Q347">
        <v>195</v>
      </c>
      <c r="R347">
        <v>179.5</v>
      </c>
      <c r="S347">
        <v>172.7</v>
      </c>
      <c r="T347">
        <v>178.5</v>
      </c>
      <c r="U347" t="s">
        <v>156</v>
      </c>
      <c r="V347">
        <v>178.8</v>
      </c>
      <c r="W347">
        <v>168.5</v>
      </c>
      <c r="X347">
        <v>176.8</v>
      </c>
      <c r="Y347">
        <v>161.9</v>
      </c>
      <c r="Z347">
        <v>166.9</v>
      </c>
      <c r="AA347">
        <v>172.3</v>
      </c>
      <c r="AB347">
        <v>171.2</v>
      </c>
      <c r="AC347">
        <v>169.1</v>
      </c>
      <c r="AD347">
        <v>174.3</v>
      </c>
    </row>
    <row r="348" spans="1:30" x14ac:dyDescent="0.3">
      <c r="A348" t="s">
        <v>30</v>
      </c>
      <c r="B348">
        <v>2022</v>
      </c>
      <c r="C348" t="s">
        <v>48</v>
      </c>
      <c r="D348">
        <v>162.9</v>
      </c>
      <c r="E348">
        <v>206.7</v>
      </c>
      <c r="F348">
        <v>169</v>
      </c>
      <c r="G348">
        <v>169.5</v>
      </c>
      <c r="H348">
        <v>194.1</v>
      </c>
      <c r="I348">
        <v>164.1</v>
      </c>
      <c r="J348">
        <v>176.9</v>
      </c>
      <c r="K348">
        <v>169</v>
      </c>
      <c r="L348">
        <v>120.8</v>
      </c>
      <c r="M348">
        <v>199.1</v>
      </c>
      <c r="N348">
        <v>175.4</v>
      </c>
      <c r="O348">
        <v>184.8</v>
      </c>
      <c r="P348">
        <v>175.5</v>
      </c>
      <c r="Q348">
        <v>194.5</v>
      </c>
      <c r="R348">
        <v>184.7</v>
      </c>
      <c r="S348">
        <v>183.3</v>
      </c>
      <c r="T348">
        <v>184.5</v>
      </c>
      <c r="U348" t="s">
        <v>32</v>
      </c>
      <c r="V348">
        <v>179.7</v>
      </c>
      <c r="W348">
        <v>173.6</v>
      </c>
      <c r="X348">
        <v>180.2</v>
      </c>
      <c r="Y348">
        <v>166.9</v>
      </c>
      <c r="Z348">
        <v>170</v>
      </c>
      <c r="AA348">
        <v>176.2</v>
      </c>
      <c r="AB348">
        <v>170.8</v>
      </c>
      <c r="AC348">
        <v>173.1</v>
      </c>
      <c r="AD348">
        <v>176.4</v>
      </c>
    </row>
    <row r="349" spans="1:30" x14ac:dyDescent="0.3">
      <c r="A349" t="s">
        <v>33</v>
      </c>
      <c r="B349">
        <v>2022</v>
      </c>
      <c r="C349" t="s">
        <v>48</v>
      </c>
      <c r="D349">
        <v>164.9</v>
      </c>
      <c r="E349">
        <v>213.7</v>
      </c>
      <c r="F349">
        <v>170.9</v>
      </c>
      <c r="G349">
        <v>170.1</v>
      </c>
      <c r="H349">
        <v>179.3</v>
      </c>
      <c r="I349">
        <v>167.5</v>
      </c>
      <c r="J349">
        <v>220.8</v>
      </c>
      <c r="K349">
        <v>169.2</v>
      </c>
      <c r="L349">
        <v>123.1</v>
      </c>
      <c r="M349">
        <v>193.6</v>
      </c>
      <c r="N349">
        <v>161.1</v>
      </c>
      <c r="O349">
        <v>190.4</v>
      </c>
      <c r="P349">
        <v>181.8</v>
      </c>
      <c r="Q349">
        <v>199.7</v>
      </c>
      <c r="R349">
        <v>175</v>
      </c>
      <c r="S349">
        <v>161.69999999999999</v>
      </c>
      <c r="T349">
        <v>173</v>
      </c>
      <c r="U349" t="s">
        <v>157</v>
      </c>
      <c r="V349">
        <v>179.2</v>
      </c>
      <c r="W349">
        <v>165</v>
      </c>
      <c r="X349">
        <v>173.8</v>
      </c>
      <c r="Y349">
        <v>158.19999999999999</v>
      </c>
      <c r="Z349">
        <v>165.8</v>
      </c>
      <c r="AA349">
        <v>170.9</v>
      </c>
      <c r="AB349">
        <v>171.1</v>
      </c>
      <c r="AC349">
        <v>166.1</v>
      </c>
      <c r="AD349">
        <v>174.1</v>
      </c>
    </row>
    <row r="350" spans="1:30" x14ac:dyDescent="0.3">
      <c r="A350" t="s">
        <v>35</v>
      </c>
      <c r="B350">
        <v>2022</v>
      </c>
      <c r="C350" t="s">
        <v>48</v>
      </c>
      <c r="D350">
        <v>163.5</v>
      </c>
      <c r="E350">
        <v>209.2</v>
      </c>
      <c r="F350">
        <v>169.7</v>
      </c>
      <c r="G350">
        <v>169.7</v>
      </c>
      <c r="H350">
        <v>188.7</v>
      </c>
      <c r="I350">
        <v>165.7</v>
      </c>
      <c r="J350">
        <v>191.8</v>
      </c>
      <c r="K350">
        <v>169.1</v>
      </c>
      <c r="L350">
        <v>121.6</v>
      </c>
      <c r="M350">
        <v>197.3</v>
      </c>
      <c r="N350">
        <v>169.4</v>
      </c>
      <c r="O350">
        <v>187.4</v>
      </c>
      <c r="P350">
        <v>177.8</v>
      </c>
      <c r="Q350">
        <v>195.9</v>
      </c>
      <c r="R350">
        <v>180.9</v>
      </c>
      <c r="S350">
        <v>174.3</v>
      </c>
      <c r="T350">
        <v>179.9</v>
      </c>
      <c r="U350" t="s">
        <v>157</v>
      </c>
      <c r="V350">
        <v>179.5</v>
      </c>
      <c r="W350">
        <v>169.5</v>
      </c>
      <c r="X350">
        <v>177.8</v>
      </c>
      <c r="Y350">
        <v>162.30000000000001</v>
      </c>
      <c r="Z350">
        <v>167.6</v>
      </c>
      <c r="AA350">
        <v>173.1</v>
      </c>
      <c r="AB350">
        <v>170.9</v>
      </c>
      <c r="AC350">
        <v>169.7</v>
      </c>
      <c r="AD350">
        <v>175.3</v>
      </c>
    </row>
    <row r="351" spans="1:30" x14ac:dyDescent="0.3">
      <c r="A351" t="s">
        <v>30</v>
      </c>
      <c r="B351">
        <v>2022</v>
      </c>
      <c r="C351" t="s">
        <v>50</v>
      </c>
      <c r="D351">
        <v>164.7</v>
      </c>
      <c r="E351">
        <v>208.8</v>
      </c>
      <c r="F351">
        <v>170.3</v>
      </c>
      <c r="G351">
        <v>170.9</v>
      </c>
      <c r="H351">
        <v>191.6</v>
      </c>
      <c r="I351">
        <v>162.19999999999999</v>
      </c>
      <c r="J351">
        <v>184.8</v>
      </c>
      <c r="K351">
        <v>169.7</v>
      </c>
      <c r="L351">
        <v>121.1</v>
      </c>
      <c r="M351">
        <v>201.6</v>
      </c>
      <c r="N351">
        <v>175.8</v>
      </c>
      <c r="O351">
        <v>185.6</v>
      </c>
      <c r="P351">
        <v>177.4</v>
      </c>
      <c r="Q351">
        <v>194.9</v>
      </c>
      <c r="R351">
        <v>186.1</v>
      </c>
      <c r="S351">
        <v>184.4</v>
      </c>
      <c r="T351">
        <v>185.9</v>
      </c>
      <c r="U351" t="s">
        <v>32</v>
      </c>
      <c r="V351">
        <v>180.8</v>
      </c>
      <c r="W351">
        <v>174.4</v>
      </c>
      <c r="X351">
        <v>181.2</v>
      </c>
      <c r="Y351">
        <v>167.4</v>
      </c>
      <c r="Z351">
        <v>170.6</v>
      </c>
      <c r="AA351">
        <v>176.5</v>
      </c>
      <c r="AB351">
        <v>172</v>
      </c>
      <c r="AC351">
        <v>173.9</v>
      </c>
      <c r="AD351">
        <v>177.9</v>
      </c>
    </row>
    <row r="352" spans="1:30" x14ac:dyDescent="0.3">
      <c r="A352" t="s">
        <v>33</v>
      </c>
      <c r="B352">
        <v>2022</v>
      </c>
      <c r="C352" t="s">
        <v>50</v>
      </c>
      <c r="D352">
        <v>166.4</v>
      </c>
      <c r="E352">
        <v>214.9</v>
      </c>
      <c r="F352">
        <v>171.9</v>
      </c>
      <c r="G352">
        <v>171</v>
      </c>
      <c r="H352">
        <v>177.7</v>
      </c>
      <c r="I352">
        <v>165.7</v>
      </c>
      <c r="J352">
        <v>228.6</v>
      </c>
      <c r="K352">
        <v>169.9</v>
      </c>
      <c r="L352">
        <v>123.4</v>
      </c>
      <c r="M352">
        <v>196.4</v>
      </c>
      <c r="N352">
        <v>161.6</v>
      </c>
      <c r="O352">
        <v>191.5</v>
      </c>
      <c r="P352">
        <v>183.3</v>
      </c>
      <c r="Q352">
        <v>200.1</v>
      </c>
      <c r="R352">
        <v>175.5</v>
      </c>
      <c r="S352">
        <v>162.6</v>
      </c>
      <c r="T352">
        <v>173.6</v>
      </c>
      <c r="U352" t="s">
        <v>158</v>
      </c>
      <c r="V352">
        <v>180</v>
      </c>
      <c r="W352">
        <v>166</v>
      </c>
      <c r="X352">
        <v>174.7</v>
      </c>
      <c r="Y352">
        <v>158.80000000000001</v>
      </c>
      <c r="Z352">
        <v>166.3</v>
      </c>
      <c r="AA352">
        <v>171.2</v>
      </c>
      <c r="AB352">
        <v>172.3</v>
      </c>
      <c r="AC352">
        <v>166.8</v>
      </c>
      <c r="AD352">
        <v>175.3</v>
      </c>
    </row>
    <row r="353" spans="1:30" x14ac:dyDescent="0.3">
      <c r="A353" t="s">
        <v>35</v>
      </c>
      <c r="B353">
        <v>2022</v>
      </c>
      <c r="C353" t="s">
        <v>50</v>
      </c>
      <c r="D353">
        <v>165.2</v>
      </c>
      <c r="E353">
        <v>210.9</v>
      </c>
      <c r="F353">
        <v>170.9</v>
      </c>
      <c r="G353">
        <v>170.9</v>
      </c>
      <c r="H353">
        <v>186.5</v>
      </c>
      <c r="I353">
        <v>163.80000000000001</v>
      </c>
      <c r="J353">
        <v>199.7</v>
      </c>
      <c r="K353">
        <v>169.8</v>
      </c>
      <c r="L353">
        <v>121.9</v>
      </c>
      <c r="M353">
        <v>199.9</v>
      </c>
      <c r="N353">
        <v>169.9</v>
      </c>
      <c r="O353">
        <v>188.3</v>
      </c>
      <c r="P353">
        <v>179.6</v>
      </c>
      <c r="Q353">
        <v>196.3</v>
      </c>
      <c r="R353">
        <v>181.9</v>
      </c>
      <c r="S353">
        <v>175.3</v>
      </c>
      <c r="T353">
        <v>181</v>
      </c>
      <c r="U353" t="s">
        <v>158</v>
      </c>
      <c r="V353">
        <v>180.5</v>
      </c>
      <c r="W353">
        <v>170.4</v>
      </c>
      <c r="X353">
        <v>178.7</v>
      </c>
      <c r="Y353">
        <v>162.9</v>
      </c>
      <c r="Z353">
        <v>168.2</v>
      </c>
      <c r="AA353">
        <v>173.4</v>
      </c>
      <c r="AB353">
        <v>172.1</v>
      </c>
      <c r="AC353">
        <v>170.5</v>
      </c>
      <c r="AD353">
        <v>176.7</v>
      </c>
    </row>
    <row r="354" spans="1:30" x14ac:dyDescent="0.3">
      <c r="A354" t="s">
        <v>30</v>
      </c>
      <c r="B354">
        <v>2022</v>
      </c>
      <c r="C354" t="s">
        <v>53</v>
      </c>
      <c r="D354">
        <v>166.9</v>
      </c>
      <c r="E354">
        <v>207.2</v>
      </c>
      <c r="F354">
        <v>180.2</v>
      </c>
      <c r="G354">
        <v>172.3</v>
      </c>
      <c r="H354">
        <v>194</v>
      </c>
      <c r="I354">
        <v>159.1</v>
      </c>
      <c r="J354">
        <v>171.6</v>
      </c>
      <c r="K354">
        <v>170.2</v>
      </c>
      <c r="L354">
        <v>121.5</v>
      </c>
      <c r="M354">
        <v>204.8</v>
      </c>
      <c r="N354">
        <v>176.4</v>
      </c>
      <c r="O354">
        <v>186.9</v>
      </c>
      <c r="P354">
        <v>176.6</v>
      </c>
      <c r="Q354">
        <v>195.5</v>
      </c>
      <c r="R354">
        <v>187.2</v>
      </c>
      <c r="S354">
        <v>185.2</v>
      </c>
      <c r="T354">
        <v>186.9</v>
      </c>
      <c r="U354" t="s">
        <v>32</v>
      </c>
      <c r="V354">
        <v>181.9</v>
      </c>
      <c r="W354">
        <v>175.5</v>
      </c>
      <c r="X354">
        <v>182.3</v>
      </c>
      <c r="Y354">
        <v>167.5</v>
      </c>
      <c r="Z354">
        <v>170.8</v>
      </c>
      <c r="AA354">
        <v>176.9</v>
      </c>
      <c r="AB354">
        <v>173.4</v>
      </c>
      <c r="AC354">
        <v>174.6</v>
      </c>
      <c r="AD354">
        <v>177.8</v>
      </c>
    </row>
    <row r="355" spans="1:30" x14ac:dyDescent="0.3">
      <c r="A355" t="s">
        <v>33</v>
      </c>
      <c r="B355">
        <v>2022</v>
      </c>
      <c r="C355" t="s">
        <v>53</v>
      </c>
      <c r="D355">
        <v>168.4</v>
      </c>
      <c r="E355">
        <v>213.4</v>
      </c>
      <c r="F355">
        <v>183.2</v>
      </c>
      <c r="G355">
        <v>172.3</v>
      </c>
      <c r="H355">
        <v>180</v>
      </c>
      <c r="I355">
        <v>162.6</v>
      </c>
      <c r="J355">
        <v>205.5</v>
      </c>
      <c r="K355">
        <v>171</v>
      </c>
      <c r="L355">
        <v>123.4</v>
      </c>
      <c r="M355">
        <v>198.8</v>
      </c>
      <c r="N355">
        <v>162.1</v>
      </c>
      <c r="O355">
        <v>192.4</v>
      </c>
      <c r="P355">
        <v>181.3</v>
      </c>
      <c r="Q355">
        <v>200.6</v>
      </c>
      <c r="R355">
        <v>176.7</v>
      </c>
      <c r="S355">
        <v>163.5</v>
      </c>
      <c r="T355">
        <v>174.7</v>
      </c>
      <c r="U355" t="s">
        <v>159</v>
      </c>
      <c r="V355">
        <v>180.3</v>
      </c>
      <c r="W355">
        <v>166.9</v>
      </c>
      <c r="X355">
        <v>175.8</v>
      </c>
      <c r="Y355">
        <v>158.9</v>
      </c>
      <c r="Z355">
        <v>166.7</v>
      </c>
      <c r="AA355">
        <v>171.5</v>
      </c>
      <c r="AB355">
        <v>173.8</v>
      </c>
      <c r="AC355">
        <v>167.4</v>
      </c>
      <c r="AD355">
        <v>174.1</v>
      </c>
    </row>
    <row r="356" spans="1:30" x14ac:dyDescent="0.3">
      <c r="A356" t="s">
        <v>35</v>
      </c>
      <c r="B356">
        <v>2022</v>
      </c>
      <c r="C356" t="s">
        <v>53</v>
      </c>
      <c r="D356">
        <v>167.4</v>
      </c>
      <c r="E356">
        <v>209.4</v>
      </c>
      <c r="F356">
        <v>181.4</v>
      </c>
      <c r="G356">
        <v>172.3</v>
      </c>
      <c r="H356">
        <v>188.9</v>
      </c>
      <c r="I356">
        <v>160.69999999999999</v>
      </c>
      <c r="J356">
        <v>183.1</v>
      </c>
      <c r="K356">
        <v>170.5</v>
      </c>
      <c r="L356">
        <v>122.1</v>
      </c>
      <c r="M356">
        <v>202.8</v>
      </c>
      <c r="N356">
        <v>170.4</v>
      </c>
      <c r="O356">
        <v>189.5</v>
      </c>
      <c r="P356">
        <v>178.3</v>
      </c>
      <c r="Q356">
        <v>196.9</v>
      </c>
      <c r="R356">
        <v>183.1</v>
      </c>
      <c r="S356">
        <v>176.2</v>
      </c>
      <c r="T356">
        <v>182.1</v>
      </c>
      <c r="U356" t="s">
        <v>159</v>
      </c>
      <c r="V356">
        <v>181.3</v>
      </c>
      <c r="W356">
        <v>171.4</v>
      </c>
      <c r="X356">
        <v>179.8</v>
      </c>
      <c r="Y356">
        <v>163</v>
      </c>
      <c r="Z356">
        <v>168.5</v>
      </c>
      <c r="AA356">
        <v>173.7</v>
      </c>
      <c r="AB356">
        <v>173.6</v>
      </c>
      <c r="AC356">
        <v>171.1</v>
      </c>
      <c r="AD356">
        <v>176.5</v>
      </c>
    </row>
    <row r="357" spans="1:30" x14ac:dyDescent="0.3">
      <c r="A357" t="s">
        <v>30</v>
      </c>
      <c r="B357">
        <v>2022</v>
      </c>
      <c r="C357" t="s">
        <v>55</v>
      </c>
      <c r="D357">
        <v>168.8</v>
      </c>
      <c r="E357">
        <v>206.9</v>
      </c>
      <c r="F357">
        <v>189.1</v>
      </c>
      <c r="G357">
        <v>173.4</v>
      </c>
      <c r="H357">
        <v>193.9</v>
      </c>
      <c r="I357">
        <v>156.69999999999999</v>
      </c>
      <c r="J357">
        <v>150.19999999999999</v>
      </c>
      <c r="K357">
        <v>170.5</v>
      </c>
      <c r="L357">
        <v>121.2</v>
      </c>
      <c r="M357">
        <v>207.5</v>
      </c>
      <c r="N357">
        <v>176.8</v>
      </c>
      <c r="O357">
        <v>187.7</v>
      </c>
      <c r="P357">
        <v>174.4</v>
      </c>
      <c r="Q357">
        <v>195.9</v>
      </c>
      <c r="R357">
        <v>188.1</v>
      </c>
      <c r="S357">
        <v>185.9</v>
      </c>
      <c r="T357">
        <v>187.8</v>
      </c>
      <c r="U357" t="s">
        <v>32</v>
      </c>
      <c r="V357">
        <v>182.8</v>
      </c>
      <c r="W357">
        <v>176.4</v>
      </c>
      <c r="X357">
        <v>183.5</v>
      </c>
      <c r="Y357">
        <v>167.8</v>
      </c>
      <c r="Z357">
        <v>171.2</v>
      </c>
      <c r="AA357">
        <v>177.3</v>
      </c>
      <c r="AB357">
        <v>175.7</v>
      </c>
      <c r="AC357">
        <v>175.5</v>
      </c>
      <c r="AD357">
        <v>177.1</v>
      </c>
    </row>
    <row r="358" spans="1:30" x14ac:dyDescent="0.3">
      <c r="A358" t="s">
        <v>33</v>
      </c>
      <c r="B358">
        <v>2022</v>
      </c>
      <c r="C358" t="s">
        <v>55</v>
      </c>
      <c r="D358">
        <v>170.2</v>
      </c>
      <c r="E358">
        <v>212.9</v>
      </c>
      <c r="F358">
        <v>191.9</v>
      </c>
      <c r="G358">
        <v>173.9</v>
      </c>
      <c r="H358">
        <v>179.1</v>
      </c>
      <c r="I358">
        <v>159.5</v>
      </c>
      <c r="J358">
        <v>178.7</v>
      </c>
      <c r="K358">
        <v>171.3</v>
      </c>
      <c r="L358">
        <v>123.1</v>
      </c>
      <c r="M358">
        <v>200.5</v>
      </c>
      <c r="N358">
        <v>162.80000000000001</v>
      </c>
      <c r="O358">
        <v>193.3</v>
      </c>
      <c r="P358">
        <v>178.6</v>
      </c>
      <c r="Q358">
        <v>201.1</v>
      </c>
      <c r="R358">
        <v>177.7</v>
      </c>
      <c r="S358">
        <v>164.5</v>
      </c>
      <c r="T358">
        <v>175.7</v>
      </c>
      <c r="U358" t="s">
        <v>160</v>
      </c>
      <c r="V358">
        <v>180.6</v>
      </c>
      <c r="W358">
        <v>167.3</v>
      </c>
      <c r="X358">
        <v>177.2</v>
      </c>
      <c r="Y358">
        <v>159.4</v>
      </c>
      <c r="Z358">
        <v>167.1</v>
      </c>
      <c r="AA358">
        <v>171.8</v>
      </c>
      <c r="AB358">
        <v>176</v>
      </c>
      <c r="AC358">
        <v>168.2</v>
      </c>
      <c r="AD358">
        <v>174.1</v>
      </c>
    </row>
    <row r="359" spans="1:30" x14ac:dyDescent="0.3">
      <c r="A359" t="s">
        <v>35</v>
      </c>
      <c r="B359">
        <v>2022</v>
      </c>
      <c r="C359" t="s">
        <v>55</v>
      </c>
      <c r="D359">
        <v>169.2</v>
      </c>
      <c r="E359">
        <v>209</v>
      </c>
      <c r="F359">
        <v>190.2</v>
      </c>
      <c r="G359">
        <v>173.6</v>
      </c>
      <c r="H359">
        <v>188.5</v>
      </c>
      <c r="I359">
        <v>158</v>
      </c>
      <c r="J359">
        <v>159.9</v>
      </c>
      <c r="K359">
        <v>170.8</v>
      </c>
      <c r="L359">
        <v>121.8</v>
      </c>
      <c r="M359">
        <v>205.2</v>
      </c>
      <c r="N359">
        <v>171</v>
      </c>
      <c r="O359">
        <v>190.3</v>
      </c>
      <c r="P359">
        <v>175.9</v>
      </c>
      <c r="Q359">
        <v>197.3</v>
      </c>
      <c r="R359">
        <v>184</v>
      </c>
      <c r="S359">
        <v>177</v>
      </c>
      <c r="T359">
        <v>183</v>
      </c>
      <c r="U359" t="s">
        <v>160</v>
      </c>
      <c r="V359">
        <v>182</v>
      </c>
      <c r="W359">
        <v>172.1</v>
      </c>
      <c r="X359">
        <v>181.1</v>
      </c>
      <c r="Y359">
        <v>163.4</v>
      </c>
      <c r="Z359">
        <v>168.9</v>
      </c>
      <c r="AA359">
        <v>174.1</v>
      </c>
      <c r="AB359">
        <v>175.8</v>
      </c>
      <c r="AC359">
        <v>172</v>
      </c>
      <c r="AD359">
        <v>175.7</v>
      </c>
    </row>
    <row r="360" spans="1:30" x14ac:dyDescent="0.3">
      <c r="A360" t="s">
        <v>30</v>
      </c>
      <c r="B360">
        <v>2023</v>
      </c>
      <c r="C360" t="s">
        <v>31</v>
      </c>
      <c r="D360">
        <v>174</v>
      </c>
      <c r="E360">
        <v>208.3</v>
      </c>
      <c r="F360">
        <v>192.9</v>
      </c>
      <c r="G360">
        <v>174.3</v>
      </c>
      <c r="H360">
        <v>192.6</v>
      </c>
      <c r="I360">
        <v>156.30000000000001</v>
      </c>
      <c r="J360">
        <v>142.9</v>
      </c>
      <c r="K360">
        <v>170.7</v>
      </c>
      <c r="L360">
        <v>120.3</v>
      </c>
      <c r="M360">
        <v>210.5</v>
      </c>
      <c r="N360">
        <v>176.9</v>
      </c>
      <c r="O360">
        <v>188.5</v>
      </c>
      <c r="P360">
        <v>175</v>
      </c>
      <c r="Q360">
        <v>196.9</v>
      </c>
      <c r="R360">
        <v>189</v>
      </c>
      <c r="S360">
        <v>186.3</v>
      </c>
      <c r="T360">
        <v>188.6</v>
      </c>
      <c r="U360" t="s">
        <v>32</v>
      </c>
      <c r="V360">
        <v>183.2</v>
      </c>
      <c r="W360">
        <v>177.2</v>
      </c>
      <c r="X360">
        <v>184.7</v>
      </c>
      <c r="Y360">
        <v>168.2</v>
      </c>
      <c r="Z360">
        <v>171.8</v>
      </c>
      <c r="AA360">
        <v>177.8</v>
      </c>
      <c r="AB360">
        <v>178.4</v>
      </c>
      <c r="AC360">
        <v>176.5</v>
      </c>
      <c r="AD360">
        <v>177.8</v>
      </c>
    </row>
    <row r="361" spans="1:30" x14ac:dyDescent="0.3">
      <c r="A361" t="s">
        <v>33</v>
      </c>
      <c r="B361">
        <v>2023</v>
      </c>
      <c r="C361" t="s">
        <v>31</v>
      </c>
      <c r="D361">
        <v>173.3</v>
      </c>
      <c r="E361">
        <v>215.2</v>
      </c>
      <c r="F361">
        <v>197</v>
      </c>
      <c r="G361">
        <v>175.2</v>
      </c>
      <c r="H361">
        <v>178</v>
      </c>
      <c r="I361">
        <v>160.5</v>
      </c>
      <c r="J361">
        <v>175.3</v>
      </c>
      <c r="K361">
        <v>171.2</v>
      </c>
      <c r="L361">
        <v>122.7</v>
      </c>
      <c r="M361">
        <v>204.3</v>
      </c>
      <c r="N361">
        <v>163.69999999999999</v>
      </c>
      <c r="O361">
        <v>194.3</v>
      </c>
      <c r="P361">
        <v>179.5</v>
      </c>
      <c r="Q361">
        <v>201.6</v>
      </c>
      <c r="R361">
        <v>178.7</v>
      </c>
      <c r="S361">
        <v>165.3</v>
      </c>
      <c r="T361">
        <v>176.6</v>
      </c>
      <c r="U361" t="s">
        <v>161</v>
      </c>
      <c r="V361">
        <v>180.1</v>
      </c>
      <c r="W361">
        <v>168</v>
      </c>
      <c r="X361">
        <v>178.5</v>
      </c>
      <c r="Y361">
        <v>159.5</v>
      </c>
      <c r="Z361">
        <v>167.8</v>
      </c>
      <c r="AA361">
        <v>171.8</v>
      </c>
      <c r="AB361">
        <v>178.8</v>
      </c>
      <c r="AC361">
        <v>168.9</v>
      </c>
      <c r="AD361">
        <v>174.9</v>
      </c>
    </row>
    <row r="362" spans="1:30" x14ac:dyDescent="0.3">
      <c r="A362" t="s">
        <v>35</v>
      </c>
      <c r="B362">
        <v>2023</v>
      </c>
      <c r="C362" t="s">
        <v>31</v>
      </c>
      <c r="D362">
        <v>173.8</v>
      </c>
      <c r="E362">
        <v>210.7</v>
      </c>
      <c r="F362">
        <v>194.5</v>
      </c>
      <c r="G362">
        <v>174.6</v>
      </c>
      <c r="H362">
        <v>187.2</v>
      </c>
      <c r="I362">
        <v>158.30000000000001</v>
      </c>
      <c r="J362">
        <v>153.9</v>
      </c>
      <c r="K362">
        <v>170.9</v>
      </c>
      <c r="L362">
        <v>121.1</v>
      </c>
      <c r="M362">
        <v>208.4</v>
      </c>
      <c r="N362">
        <v>171.4</v>
      </c>
      <c r="O362">
        <v>191.2</v>
      </c>
      <c r="P362">
        <v>176.7</v>
      </c>
      <c r="Q362">
        <v>198.2</v>
      </c>
      <c r="R362">
        <v>184.9</v>
      </c>
      <c r="S362">
        <v>177.6</v>
      </c>
      <c r="T362">
        <v>183.8</v>
      </c>
      <c r="U362" t="s">
        <v>161</v>
      </c>
      <c r="V362">
        <v>182</v>
      </c>
      <c r="W362">
        <v>172.9</v>
      </c>
      <c r="X362">
        <v>182.3</v>
      </c>
      <c r="Y362">
        <v>163.6</v>
      </c>
      <c r="Z362">
        <v>169.5</v>
      </c>
      <c r="AA362">
        <v>174.3</v>
      </c>
      <c r="AB362">
        <v>178.6</v>
      </c>
      <c r="AC362">
        <v>172.8</v>
      </c>
      <c r="AD362">
        <v>176.5</v>
      </c>
    </row>
    <row r="363" spans="1:30" x14ac:dyDescent="0.3">
      <c r="A363" t="s">
        <v>30</v>
      </c>
      <c r="B363">
        <v>2023</v>
      </c>
      <c r="C363" t="s">
        <v>36</v>
      </c>
      <c r="D363">
        <v>174.2</v>
      </c>
      <c r="E363">
        <v>205.2</v>
      </c>
      <c r="F363">
        <v>173.9</v>
      </c>
      <c r="G363">
        <v>177</v>
      </c>
      <c r="H363">
        <v>183.4</v>
      </c>
      <c r="I363">
        <v>167.2</v>
      </c>
      <c r="J363">
        <v>140.9</v>
      </c>
      <c r="K363">
        <v>170.4</v>
      </c>
      <c r="L363">
        <v>119.1</v>
      </c>
      <c r="M363">
        <v>212.1</v>
      </c>
      <c r="N363">
        <v>177.6</v>
      </c>
      <c r="O363">
        <v>189.9</v>
      </c>
      <c r="P363">
        <v>174.8</v>
      </c>
      <c r="Q363">
        <v>198.3</v>
      </c>
      <c r="R363">
        <v>190</v>
      </c>
      <c r="S363">
        <v>187</v>
      </c>
      <c r="T363">
        <v>189.6</v>
      </c>
      <c r="U363" t="s">
        <v>32</v>
      </c>
      <c r="V363">
        <v>181.6</v>
      </c>
      <c r="W363">
        <v>178.6</v>
      </c>
      <c r="X363">
        <v>186.6</v>
      </c>
      <c r="Y363">
        <v>169</v>
      </c>
      <c r="Z363">
        <v>172.8</v>
      </c>
      <c r="AA363">
        <v>178.5</v>
      </c>
      <c r="AB363">
        <v>180.7</v>
      </c>
      <c r="AC363">
        <v>177.9</v>
      </c>
      <c r="AD363">
        <v>178</v>
      </c>
    </row>
    <row r="364" spans="1:30" x14ac:dyDescent="0.3">
      <c r="A364" t="s">
        <v>33</v>
      </c>
      <c r="B364">
        <v>2023</v>
      </c>
      <c r="C364" t="s">
        <v>36</v>
      </c>
      <c r="D364">
        <v>174.7</v>
      </c>
      <c r="E364">
        <v>212.2</v>
      </c>
      <c r="F364">
        <v>177.2</v>
      </c>
      <c r="G364">
        <v>177.9</v>
      </c>
      <c r="H364">
        <v>172.2</v>
      </c>
      <c r="I364">
        <v>172.1</v>
      </c>
      <c r="J364">
        <v>175.8</v>
      </c>
      <c r="K364">
        <v>172.2</v>
      </c>
      <c r="L364">
        <v>121.9</v>
      </c>
      <c r="M364">
        <v>204.8</v>
      </c>
      <c r="N364">
        <v>164.9</v>
      </c>
      <c r="O364">
        <v>196.6</v>
      </c>
      <c r="P364">
        <v>180.7</v>
      </c>
      <c r="Q364">
        <v>202.7</v>
      </c>
      <c r="R364">
        <v>180.3</v>
      </c>
      <c r="S364">
        <v>167</v>
      </c>
      <c r="T364">
        <v>178.2</v>
      </c>
      <c r="U364" t="s">
        <v>162</v>
      </c>
      <c r="V364">
        <v>182.8</v>
      </c>
      <c r="W364">
        <v>169.2</v>
      </c>
      <c r="X364">
        <v>180.8</v>
      </c>
      <c r="Y364">
        <v>159.80000000000001</v>
      </c>
      <c r="Z364">
        <v>168.4</v>
      </c>
      <c r="AA364">
        <v>172.5</v>
      </c>
      <c r="AB364">
        <v>181.4</v>
      </c>
      <c r="AC364">
        <v>170</v>
      </c>
      <c r="AD364">
        <v>176.3</v>
      </c>
    </row>
    <row r="365" spans="1:30" x14ac:dyDescent="0.3">
      <c r="A365" t="s">
        <v>35</v>
      </c>
      <c r="B365">
        <v>2023</v>
      </c>
      <c r="C365" t="s">
        <v>36</v>
      </c>
      <c r="D365">
        <v>174.4</v>
      </c>
      <c r="E365">
        <v>207.7</v>
      </c>
      <c r="F365">
        <v>175.2</v>
      </c>
      <c r="G365">
        <v>177.3</v>
      </c>
      <c r="H365">
        <v>179.3</v>
      </c>
      <c r="I365">
        <v>169.5</v>
      </c>
      <c r="J365">
        <v>152.69999999999999</v>
      </c>
      <c r="K365">
        <v>171</v>
      </c>
      <c r="L365">
        <v>120</v>
      </c>
      <c r="M365">
        <v>209.7</v>
      </c>
      <c r="N365">
        <v>172.3</v>
      </c>
      <c r="O365">
        <v>193</v>
      </c>
      <c r="P365">
        <v>177</v>
      </c>
      <c r="Q365">
        <v>199.5</v>
      </c>
      <c r="R365">
        <v>186.2</v>
      </c>
      <c r="S365">
        <v>178.7</v>
      </c>
      <c r="T365">
        <v>185.1</v>
      </c>
      <c r="U365" t="s">
        <v>162</v>
      </c>
      <c r="V365">
        <v>182.1</v>
      </c>
      <c r="W365">
        <v>174.2</v>
      </c>
      <c r="X365">
        <v>184.4</v>
      </c>
      <c r="Y365">
        <v>164.2</v>
      </c>
      <c r="Z365">
        <v>170.3</v>
      </c>
      <c r="AA365">
        <v>175</v>
      </c>
      <c r="AB365">
        <v>181</v>
      </c>
      <c r="AC365">
        <v>174.1</v>
      </c>
      <c r="AD365">
        <v>177.2</v>
      </c>
    </row>
    <row r="366" spans="1:30" x14ac:dyDescent="0.3">
      <c r="A366" t="s">
        <v>30</v>
      </c>
      <c r="B366">
        <v>2023</v>
      </c>
      <c r="C366" t="s">
        <v>38</v>
      </c>
      <c r="D366">
        <v>174.3</v>
      </c>
      <c r="E366">
        <v>205.2</v>
      </c>
      <c r="F366">
        <v>173.9</v>
      </c>
      <c r="G366">
        <v>177</v>
      </c>
      <c r="H366">
        <v>183.3</v>
      </c>
      <c r="I366">
        <v>167.2</v>
      </c>
      <c r="J366">
        <v>140.9</v>
      </c>
      <c r="K366">
        <v>170.5</v>
      </c>
      <c r="L366">
        <v>119.1</v>
      </c>
      <c r="M366">
        <v>212.1</v>
      </c>
      <c r="N366">
        <v>177.6</v>
      </c>
      <c r="O366">
        <v>189.9</v>
      </c>
      <c r="P366">
        <v>174.8</v>
      </c>
      <c r="Q366">
        <v>198.4</v>
      </c>
      <c r="R366">
        <v>190</v>
      </c>
      <c r="S366">
        <v>187</v>
      </c>
      <c r="T366">
        <v>189.6</v>
      </c>
      <c r="U366" t="s">
        <v>32</v>
      </c>
      <c r="V366">
        <v>181.4</v>
      </c>
      <c r="W366">
        <v>178.6</v>
      </c>
      <c r="X366">
        <v>186.6</v>
      </c>
      <c r="Y366">
        <v>169</v>
      </c>
      <c r="Z366">
        <v>172.8</v>
      </c>
      <c r="AA366">
        <v>178.5</v>
      </c>
      <c r="AB366">
        <v>180.7</v>
      </c>
      <c r="AC366">
        <v>177.9</v>
      </c>
      <c r="AD366">
        <v>178</v>
      </c>
    </row>
    <row r="367" spans="1:30" x14ac:dyDescent="0.3">
      <c r="A367" t="s">
        <v>33</v>
      </c>
      <c r="B367">
        <v>2023</v>
      </c>
      <c r="C367" t="s">
        <v>38</v>
      </c>
      <c r="D367">
        <v>174.7</v>
      </c>
      <c r="E367">
        <v>212.2</v>
      </c>
      <c r="F367">
        <v>177.2</v>
      </c>
      <c r="G367">
        <v>177.9</v>
      </c>
      <c r="H367">
        <v>172.2</v>
      </c>
      <c r="I367">
        <v>172.1</v>
      </c>
      <c r="J367">
        <v>175.9</v>
      </c>
      <c r="K367">
        <v>172.2</v>
      </c>
      <c r="L367">
        <v>121.9</v>
      </c>
      <c r="M367">
        <v>204.8</v>
      </c>
      <c r="N367">
        <v>164.9</v>
      </c>
      <c r="O367">
        <v>196.6</v>
      </c>
      <c r="P367">
        <v>180.8</v>
      </c>
      <c r="Q367">
        <v>202.7</v>
      </c>
      <c r="R367">
        <v>180.2</v>
      </c>
      <c r="S367">
        <v>167</v>
      </c>
      <c r="T367">
        <v>178.2</v>
      </c>
      <c r="U367" t="s">
        <v>162</v>
      </c>
      <c r="V367">
        <v>182.6</v>
      </c>
      <c r="W367">
        <v>169.2</v>
      </c>
      <c r="X367">
        <v>180.8</v>
      </c>
      <c r="Y367">
        <v>159.80000000000001</v>
      </c>
      <c r="Z367">
        <v>168.4</v>
      </c>
      <c r="AA367">
        <v>172.5</v>
      </c>
      <c r="AB367">
        <v>181.5</v>
      </c>
      <c r="AC367">
        <v>170</v>
      </c>
      <c r="AD367">
        <v>176.3</v>
      </c>
    </row>
    <row r="368" spans="1:30" x14ac:dyDescent="0.3">
      <c r="A368" t="s">
        <v>35</v>
      </c>
      <c r="B368">
        <v>2023</v>
      </c>
      <c r="C368" t="s">
        <v>38</v>
      </c>
      <c r="D368">
        <v>174.4</v>
      </c>
      <c r="E368">
        <v>207.7</v>
      </c>
      <c r="F368">
        <v>175.2</v>
      </c>
      <c r="G368">
        <v>177.3</v>
      </c>
      <c r="H368">
        <v>179.2</v>
      </c>
      <c r="I368">
        <v>169.5</v>
      </c>
      <c r="J368">
        <v>152.80000000000001</v>
      </c>
      <c r="K368">
        <v>171.1</v>
      </c>
      <c r="L368">
        <v>120</v>
      </c>
      <c r="M368">
        <v>209.7</v>
      </c>
      <c r="N368">
        <v>172.3</v>
      </c>
      <c r="O368">
        <v>193</v>
      </c>
      <c r="P368">
        <v>177</v>
      </c>
      <c r="Q368">
        <v>199.5</v>
      </c>
      <c r="R368">
        <v>186.1</v>
      </c>
      <c r="S368">
        <v>178.7</v>
      </c>
      <c r="T368">
        <v>185.1</v>
      </c>
      <c r="U368" t="s">
        <v>162</v>
      </c>
      <c r="V368">
        <v>181.9</v>
      </c>
      <c r="W368">
        <v>174.2</v>
      </c>
      <c r="X368">
        <v>184.4</v>
      </c>
      <c r="Y368">
        <v>164.2</v>
      </c>
      <c r="Z368">
        <v>170.3</v>
      </c>
      <c r="AA368">
        <v>175</v>
      </c>
      <c r="AB368">
        <v>181</v>
      </c>
      <c r="AC368">
        <v>174.1</v>
      </c>
      <c r="AD368">
        <v>177.2</v>
      </c>
    </row>
    <row r="369" spans="1:30" x14ac:dyDescent="0.3">
      <c r="A369" t="s">
        <v>30</v>
      </c>
      <c r="B369">
        <v>2023</v>
      </c>
      <c r="C369" t="s">
        <v>39</v>
      </c>
      <c r="D369">
        <v>173.3</v>
      </c>
      <c r="E369">
        <v>206.9</v>
      </c>
      <c r="F369">
        <v>167.9</v>
      </c>
      <c r="G369">
        <v>178.2</v>
      </c>
      <c r="H369">
        <v>178.5</v>
      </c>
      <c r="I369">
        <v>173.7</v>
      </c>
      <c r="J369">
        <v>142.80000000000001</v>
      </c>
      <c r="K369">
        <v>172.8</v>
      </c>
      <c r="L369">
        <v>120.4</v>
      </c>
      <c r="M369">
        <v>215.5</v>
      </c>
      <c r="N369">
        <v>178.2</v>
      </c>
      <c r="O369">
        <v>190.5</v>
      </c>
      <c r="P369">
        <v>175.5</v>
      </c>
      <c r="Q369">
        <v>199.5</v>
      </c>
      <c r="R369">
        <v>190.7</v>
      </c>
      <c r="S369">
        <v>187.3</v>
      </c>
      <c r="T369">
        <v>190.2</v>
      </c>
      <c r="U369" t="s">
        <v>139</v>
      </c>
      <c r="V369">
        <v>181.5</v>
      </c>
      <c r="W369">
        <v>179.1</v>
      </c>
      <c r="X369">
        <v>187.2</v>
      </c>
      <c r="Y369">
        <v>169.4</v>
      </c>
      <c r="Z369">
        <v>173.2</v>
      </c>
      <c r="AA369">
        <v>179.4</v>
      </c>
      <c r="AB369">
        <v>183.8</v>
      </c>
      <c r="AC369">
        <v>178.9</v>
      </c>
      <c r="AD369">
        <v>178.8</v>
      </c>
    </row>
    <row r="370" spans="1:30" x14ac:dyDescent="0.3">
      <c r="A370" t="s">
        <v>33</v>
      </c>
      <c r="B370">
        <v>2023</v>
      </c>
      <c r="C370" t="s">
        <v>39</v>
      </c>
      <c r="D370">
        <v>174.8</v>
      </c>
      <c r="E370">
        <v>213.7</v>
      </c>
      <c r="F370">
        <v>172.4</v>
      </c>
      <c r="G370">
        <v>178.8</v>
      </c>
      <c r="H370">
        <v>168.7</v>
      </c>
      <c r="I370">
        <v>179.2</v>
      </c>
      <c r="J370">
        <v>179.9</v>
      </c>
      <c r="K370">
        <v>174.7</v>
      </c>
      <c r="L370">
        <v>123.1</v>
      </c>
      <c r="M370">
        <v>207.8</v>
      </c>
      <c r="N370">
        <v>165.5</v>
      </c>
      <c r="O370">
        <v>197</v>
      </c>
      <c r="P370">
        <v>182.1</v>
      </c>
      <c r="Q370">
        <v>203.5</v>
      </c>
      <c r="R370">
        <v>181</v>
      </c>
      <c r="S370">
        <v>167.7</v>
      </c>
      <c r="T370">
        <v>178.9</v>
      </c>
      <c r="U370" t="s">
        <v>163</v>
      </c>
      <c r="V370">
        <v>182.1</v>
      </c>
      <c r="W370">
        <v>169.6</v>
      </c>
      <c r="X370">
        <v>181.5</v>
      </c>
      <c r="Y370">
        <v>160.1</v>
      </c>
      <c r="Z370">
        <v>168.8</v>
      </c>
      <c r="AA370">
        <v>174.2</v>
      </c>
      <c r="AB370">
        <v>184.4</v>
      </c>
      <c r="AC370">
        <v>170.9</v>
      </c>
      <c r="AD370">
        <v>177.4</v>
      </c>
    </row>
    <row r="371" spans="1:30" x14ac:dyDescent="0.3">
      <c r="A371" t="s">
        <v>35</v>
      </c>
      <c r="B371">
        <v>2023</v>
      </c>
      <c r="C371" t="s">
        <v>39</v>
      </c>
      <c r="D371">
        <v>173.8</v>
      </c>
      <c r="E371">
        <v>209.3</v>
      </c>
      <c r="F371">
        <v>169.6</v>
      </c>
      <c r="G371">
        <v>178.4</v>
      </c>
      <c r="H371">
        <v>174.9</v>
      </c>
      <c r="I371">
        <v>176.3</v>
      </c>
      <c r="J371">
        <v>155.4</v>
      </c>
      <c r="K371">
        <v>173.4</v>
      </c>
      <c r="L371">
        <v>121.3</v>
      </c>
      <c r="M371">
        <v>212.9</v>
      </c>
      <c r="N371">
        <v>172.9</v>
      </c>
      <c r="O371">
        <v>193.5</v>
      </c>
      <c r="P371">
        <v>177.9</v>
      </c>
      <c r="Q371">
        <v>200.6</v>
      </c>
      <c r="R371">
        <v>186.9</v>
      </c>
      <c r="S371">
        <v>179.2</v>
      </c>
      <c r="T371">
        <v>185.7</v>
      </c>
      <c r="U371" t="s">
        <v>163</v>
      </c>
      <c r="V371">
        <v>181.7</v>
      </c>
      <c r="W371">
        <v>174.6</v>
      </c>
      <c r="X371">
        <v>185</v>
      </c>
      <c r="Y371">
        <v>164.5</v>
      </c>
      <c r="Z371">
        <v>170.7</v>
      </c>
      <c r="AA371">
        <v>176.4</v>
      </c>
      <c r="AB371">
        <v>184</v>
      </c>
      <c r="AC371">
        <v>175</v>
      </c>
      <c r="AD371">
        <v>178.1</v>
      </c>
    </row>
    <row r="372" spans="1:30" x14ac:dyDescent="0.3">
      <c r="A372" t="s">
        <v>30</v>
      </c>
      <c r="B372">
        <v>2023</v>
      </c>
      <c r="C372" t="s">
        <v>41</v>
      </c>
      <c r="D372">
        <v>173.2</v>
      </c>
      <c r="E372">
        <v>211.5</v>
      </c>
      <c r="F372">
        <v>171</v>
      </c>
      <c r="G372">
        <v>179.6</v>
      </c>
      <c r="H372">
        <v>173.3</v>
      </c>
      <c r="I372">
        <v>169</v>
      </c>
      <c r="J372">
        <v>148.69999999999999</v>
      </c>
      <c r="K372">
        <v>174.9</v>
      </c>
      <c r="L372">
        <v>121.9</v>
      </c>
      <c r="M372">
        <v>221</v>
      </c>
      <c r="N372">
        <v>178.7</v>
      </c>
      <c r="O372">
        <v>191.1</v>
      </c>
      <c r="P372">
        <v>176.8</v>
      </c>
      <c r="Q372">
        <v>199.9</v>
      </c>
      <c r="R372">
        <v>191.2</v>
      </c>
      <c r="S372">
        <v>187.9</v>
      </c>
      <c r="T372">
        <v>190.8</v>
      </c>
      <c r="U372" t="s">
        <v>139</v>
      </c>
      <c r="V372">
        <v>182.5</v>
      </c>
      <c r="W372">
        <v>179.8</v>
      </c>
      <c r="X372">
        <v>187.8</v>
      </c>
      <c r="Y372">
        <v>169.7</v>
      </c>
      <c r="Z372">
        <v>173.8</v>
      </c>
      <c r="AA372">
        <v>180.3</v>
      </c>
      <c r="AB372">
        <v>184.9</v>
      </c>
      <c r="AC372">
        <v>179.5</v>
      </c>
      <c r="AD372">
        <v>179.8</v>
      </c>
    </row>
    <row r="373" spans="1:30" x14ac:dyDescent="0.3">
      <c r="A373" t="s">
        <v>33</v>
      </c>
      <c r="B373">
        <v>2023</v>
      </c>
      <c r="C373" t="s">
        <v>41</v>
      </c>
      <c r="D373">
        <v>174.7</v>
      </c>
      <c r="E373">
        <v>219.4</v>
      </c>
      <c r="F373">
        <v>176.7</v>
      </c>
      <c r="G373">
        <v>179.4</v>
      </c>
      <c r="H373">
        <v>164.4</v>
      </c>
      <c r="I373">
        <v>175.8</v>
      </c>
      <c r="J373">
        <v>185</v>
      </c>
      <c r="K373">
        <v>176.9</v>
      </c>
      <c r="L373">
        <v>124.2</v>
      </c>
      <c r="M373">
        <v>211.9</v>
      </c>
      <c r="N373">
        <v>165.9</v>
      </c>
      <c r="O373">
        <v>197.7</v>
      </c>
      <c r="P373">
        <v>183.1</v>
      </c>
      <c r="Q373">
        <v>204.2</v>
      </c>
      <c r="R373">
        <v>181.3</v>
      </c>
      <c r="S373">
        <v>168.1</v>
      </c>
      <c r="T373">
        <v>179.3</v>
      </c>
      <c r="U373" t="s">
        <v>164</v>
      </c>
      <c r="V373">
        <v>183.4</v>
      </c>
      <c r="W373">
        <v>170.1</v>
      </c>
      <c r="X373">
        <v>182.2</v>
      </c>
      <c r="Y373">
        <v>160.4</v>
      </c>
      <c r="Z373">
        <v>169.2</v>
      </c>
      <c r="AA373">
        <v>174.8</v>
      </c>
      <c r="AB373">
        <v>185.6</v>
      </c>
      <c r="AC373">
        <v>171.6</v>
      </c>
      <c r="AD373">
        <v>178.2</v>
      </c>
    </row>
    <row r="374" spans="1:30" x14ac:dyDescent="0.3">
      <c r="A374" t="s">
        <v>35</v>
      </c>
      <c r="B374">
        <v>2023</v>
      </c>
      <c r="C374" t="s">
        <v>41</v>
      </c>
      <c r="D374">
        <v>173.7</v>
      </c>
      <c r="E374">
        <v>214.3</v>
      </c>
      <c r="F374">
        <v>173.2</v>
      </c>
      <c r="G374">
        <v>179.5</v>
      </c>
      <c r="H374">
        <v>170</v>
      </c>
      <c r="I374">
        <v>172.2</v>
      </c>
      <c r="J374">
        <v>161</v>
      </c>
      <c r="K374">
        <v>175.6</v>
      </c>
      <c r="L374">
        <v>122.7</v>
      </c>
      <c r="M374">
        <v>218</v>
      </c>
      <c r="N374">
        <v>173.4</v>
      </c>
      <c r="O374">
        <v>194.2</v>
      </c>
      <c r="P374">
        <v>179.1</v>
      </c>
      <c r="Q374">
        <v>201</v>
      </c>
      <c r="R374">
        <v>187.3</v>
      </c>
      <c r="S374">
        <v>179.7</v>
      </c>
      <c r="T374">
        <v>186.2</v>
      </c>
      <c r="U374" t="s">
        <v>164</v>
      </c>
      <c r="V374">
        <v>182.8</v>
      </c>
      <c r="W374">
        <v>175.2</v>
      </c>
      <c r="X374">
        <v>185.7</v>
      </c>
      <c r="Y374">
        <v>164.8</v>
      </c>
      <c r="Z374">
        <v>171.2</v>
      </c>
      <c r="AA374">
        <v>177.1</v>
      </c>
      <c r="AB374">
        <v>185.2</v>
      </c>
      <c r="AC374">
        <v>175.7</v>
      </c>
      <c r="AD374">
        <v>179.1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41A6A-7A83-4A56-AF5B-513D9AF472DC}">
  <dimension ref="A1:AN273"/>
  <sheetViews>
    <sheetView topLeftCell="A33" workbookViewId="0">
      <selection activeCell="F42" sqref="F42"/>
    </sheetView>
  </sheetViews>
  <sheetFormatPr defaultRowHeight="14.4" x14ac:dyDescent="0.3"/>
  <cols>
    <col min="1" max="1" width="13.6640625" customWidth="1"/>
    <col min="2" max="2" width="17.21875" customWidth="1"/>
    <col min="3" max="3" width="21.109375" customWidth="1"/>
    <col min="4" max="4" width="20.44140625" customWidth="1"/>
    <col min="5" max="5" width="14.44140625" customWidth="1"/>
    <col min="6" max="6" width="17" customWidth="1"/>
    <col min="7" max="7" width="18.109375" customWidth="1"/>
    <col min="8" max="8" width="25.88671875" bestFit="1" customWidth="1"/>
    <col min="9" max="9" width="11.77734375" bestFit="1" customWidth="1"/>
    <col min="10" max="10" width="12.6640625" bestFit="1" customWidth="1"/>
    <col min="11" max="11" width="18.21875" bestFit="1" customWidth="1"/>
    <col min="12" max="12" width="6" bestFit="1" customWidth="1"/>
    <col min="13" max="13" width="4" bestFit="1" customWidth="1"/>
    <col min="14" max="32" width="6" bestFit="1" customWidth="1"/>
    <col min="33" max="33" width="4" bestFit="1" customWidth="1"/>
    <col min="34" max="34" width="1.6640625" bestFit="1" customWidth="1"/>
    <col min="35" max="35" width="10.77734375" bestFit="1" customWidth="1"/>
  </cols>
  <sheetData>
    <row r="1" spans="1:40" ht="25.8" x14ac:dyDescent="0.3">
      <c r="A1" s="80" t="s">
        <v>200</v>
      </c>
      <c r="B1" s="80"/>
      <c r="C1" s="80"/>
    </row>
    <row r="2" spans="1:40" x14ac:dyDescent="0.3">
      <c r="A2" t="s">
        <v>171</v>
      </c>
      <c r="B2" s="1" t="s">
        <v>0</v>
      </c>
      <c r="C2" s="11" t="s">
        <v>30</v>
      </c>
      <c r="D2" s="12" t="s">
        <v>33</v>
      </c>
      <c r="E2" s="11" t="s">
        <v>35</v>
      </c>
      <c r="G2" t="s">
        <v>171</v>
      </c>
      <c r="H2" s="1" t="s">
        <v>0</v>
      </c>
      <c r="I2" s="11" t="s">
        <v>30</v>
      </c>
      <c r="J2" s="12" t="s">
        <v>33</v>
      </c>
      <c r="K2" s="11" t="s">
        <v>35</v>
      </c>
      <c r="M2" t="s">
        <v>171</v>
      </c>
      <c r="N2" t="s">
        <v>176</v>
      </c>
      <c r="O2" t="s">
        <v>176</v>
      </c>
      <c r="P2" t="s">
        <v>176</v>
      </c>
      <c r="Q2" t="s">
        <v>176</v>
      </c>
      <c r="R2" t="s">
        <v>176</v>
      </c>
      <c r="S2" t="s">
        <v>176</v>
      </c>
      <c r="T2" t="s">
        <v>176</v>
      </c>
      <c r="U2" t="s">
        <v>176</v>
      </c>
      <c r="V2" t="s">
        <v>176</v>
      </c>
      <c r="W2" t="s">
        <v>176</v>
      </c>
      <c r="X2" t="s">
        <v>166</v>
      </c>
      <c r="Y2" t="s">
        <v>176</v>
      </c>
      <c r="Z2" t="s">
        <v>176</v>
      </c>
      <c r="AA2" t="s">
        <v>166</v>
      </c>
      <c r="AB2" t="s">
        <v>17</v>
      </c>
      <c r="AC2" t="s">
        <v>17</v>
      </c>
      <c r="AD2" t="s">
        <v>17</v>
      </c>
      <c r="AE2" t="s">
        <v>167</v>
      </c>
      <c r="AF2" t="s">
        <v>21</v>
      </c>
      <c r="AG2" t="s">
        <v>167</v>
      </c>
      <c r="AH2" t="s">
        <v>23</v>
      </c>
      <c r="AI2" t="s">
        <v>24</v>
      </c>
      <c r="AJ2" t="s">
        <v>166</v>
      </c>
      <c r="AK2" t="s">
        <v>26</v>
      </c>
      <c r="AL2" t="s">
        <v>169</v>
      </c>
      <c r="AM2" t="s">
        <v>170</v>
      </c>
      <c r="AN2" t="s">
        <v>177</v>
      </c>
    </row>
    <row r="3" spans="1:40" x14ac:dyDescent="0.3">
      <c r="A3" t="s">
        <v>176</v>
      </c>
      <c r="B3" s="2" t="s">
        <v>3</v>
      </c>
      <c r="C3" s="3">
        <v>173.2</v>
      </c>
      <c r="D3" s="4">
        <v>174.7</v>
      </c>
      <c r="E3" s="3">
        <v>173.7</v>
      </c>
      <c r="G3" t="s">
        <v>176</v>
      </c>
      <c r="H3" s="2" t="s">
        <v>3</v>
      </c>
      <c r="I3" s="3">
        <v>173.2</v>
      </c>
      <c r="J3" s="4">
        <v>174.7</v>
      </c>
      <c r="K3" s="3">
        <v>173.7</v>
      </c>
      <c r="M3" s="1" t="s">
        <v>0</v>
      </c>
      <c r="N3" s="2" t="s">
        <v>3</v>
      </c>
      <c r="O3" s="2" t="s">
        <v>4</v>
      </c>
      <c r="P3" s="2" t="s">
        <v>5</v>
      </c>
      <c r="Q3" s="2" t="s">
        <v>6</v>
      </c>
      <c r="R3" s="2" t="s">
        <v>7</v>
      </c>
      <c r="S3" s="2" t="s">
        <v>8</v>
      </c>
      <c r="T3" s="2" t="s">
        <v>9</v>
      </c>
      <c r="U3" s="2" t="s">
        <v>10</v>
      </c>
      <c r="V3" s="2" t="s">
        <v>11</v>
      </c>
      <c r="W3" s="2" t="s">
        <v>12</v>
      </c>
      <c r="X3" s="2" t="s">
        <v>13</v>
      </c>
      <c r="Y3" s="2" t="s">
        <v>14</v>
      </c>
      <c r="Z3" s="2" t="s">
        <v>15</v>
      </c>
      <c r="AA3" s="2" t="s">
        <v>16</v>
      </c>
      <c r="AB3" s="2" t="s">
        <v>17</v>
      </c>
      <c r="AC3" s="2" t="s">
        <v>18</v>
      </c>
      <c r="AD3" s="2" t="s">
        <v>19</v>
      </c>
      <c r="AE3" s="2" t="s">
        <v>20</v>
      </c>
      <c r="AF3" s="2" t="s">
        <v>21</v>
      </c>
      <c r="AG3" s="2" t="s">
        <v>22</v>
      </c>
      <c r="AH3" s="2" t="s">
        <v>23</v>
      </c>
      <c r="AI3" s="2" t="s">
        <v>24</v>
      </c>
      <c r="AJ3" s="2" t="s">
        <v>25</v>
      </c>
      <c r="AK3" s="2" t="s">
        <v>26</v>
      </c>
      <c r="AL3" s="2" t="s">
        <v>27</v>
      </c>
      <c r="AM3" s="2" t="s">
        <v>28</v>
      </c>
    </row>
    <row r="4" spans="1:40" x14ac:dyDescent="0.3">
      <c r="A4" t="s">
        <v>176</v>
      </c>
      <c r="B4" s="2" t="s">
        <v>4</v>
      </c>
      <c r="C4" s="3">
        <v>211.5</v>
      </c>
      <c r="D4" s="4">
        <v>219.4</v>
      </c>
      <c r="E4" s="3">
        <v>214.3</v>
      </c>
      <c r="G4" t="s">
        <v>176</v>
      </c>
      <c r="H4" s="2" t="s">
        <v>4</v>
      </c>
      <c r="I4" s="3">
        <v>211.5</v>
      </c>
      <c r="J4" s="4">
        <v>219.4</v>
      </c>
      <c r="K4" s="3">
        <v>214.3</v>
      </c>
      <c r="M4" s="11" t="s">
        <v>30</v>
      </c>
      <c r="N4" s="3">
        <v>173.2</v>
      </c>
      <c r="O4" s="3">
        <v>211.5</v>
      </c>
      <c r="P4" s="3">
        <v>171</v>
      </c>
      <c r="Q4" s="3">
        <v>179.6</v>
      </c>
      <c r="R4" s="3">
        <v>173.3</v>
      </c>
      <c r="S4" s="3">
        <v>169</v>
      </c>
      <c r="T4" s="3">
        <v>148.69999999999999</v>
      </c>
      <c r="U4" s="3">
        <v>174.9</v>
      </c>
      <c r="V4" s="3">
        <v>121.9</v>
      </c>
      <c r="W4" s="3">
        <v>221</v>
      </c>
      <c r="X4" s="3">
        <v>178.7</v>
      </c>
      <c r="Y4" s="3">
        <v>191.1</v>
      </c>
      <c r="Z4" s="3">
        <v>176.8</v>
      </c>
      <c r="AA4" s="3">
        <v>199.9</v>
      </c>
      <c r="AB4" s="3">
        <v>191.2</v>
      </c>
      <c r="AC4" s="3">
        <v>187.9</v>
      </c>
      <c r="AD4" s="3">
        <v>190.8</v>
      </c>
      <c r="AE4" s="3" t="s">
        <v>139</v>
      </c>
      <c r="AF4" s="3">
        <v>182.5</v>
      </c>
      <c r="AG4" s="3">
        <v>179.8</v>
      </c>
      <c r="AH4" s="3">
        <v>187.8</v>
      </c>
      <c r="AI4" s="3">
        <v>169.7</v>
      </c>
      <c r="AJ4" s="3">
        <v>173.8</v>
      </c>
      <c r="AK4" s="3">
        <v>180.3</v>
      </c>
      <c r="AL4" s="3">
        <v>184.9</v>
      </c>
      <c r="AM4" s="3">
        <v>179.5</v>
      </c>
      <c r="AN4">
        <f>SUM(N4:AM4)</f>
        <v>4498.8000000000011</v>
      </c>
    </row>
    <row r="5" spans="1:40" x14ac:dyDescent="0.3">
      <c r="A5" t="s">
        <v>176</v>
      </c>
      <c r="B5" s="2" t="s">
        <v>5</v>
      </c>
      <c r="C5" s="3">
        <v>171</v>
      </c>
      <c r="D5" s="4">
        <v>176.7</v>
      </c>
      <c r="E5" s="3">
        <v>173.2</v>
      </c>
      <c r="G5" t="s">
        <v>176</v>
      </c>
      <c r="H5" s="2" t="s">
        <v>5</v>
      </c>
      <c r="I5" s="3">
        <v>171</v>
      </c>
      <c r="J5" s="4">
        <v>176.7</v>
      </c>
      <c r="K5" s="3">
        <v>173.2</v>
      </c>
      <c r="M5" s="12" t="s">
        <v>33</v>
      </c>
      <c r="N5" s="4">
        <v>174.7</v>
      </c>
      <c r="O5" s="4">
        <v>219.4</v>
      </c>
      <c r="P5" s="4">
        <v>176.7</v>
      </c>
      <c r="Q5" s="4">
        <v>179.4</v>
      </c>
      <c r="R5" s="4">
        <v>164.4</v>
      </c>
      <c r="S5" s="4">
        <v>175.8</v>
      </c>
      <c r="T5" s="4">
        <v>185</v>
      </c>
      <c r="U5" s="4">
        <v>176.9</v>
      </c>
      <c r="V5" s="4">
        <v>124.2</v>
      </c>
      <c r="W5" s="4">
        <v>211.9</v>
      </c>
      <c r="X5" s="4">
        <v>165.9</v>
      </c>
      <c r="Y5" s="4">
        <v>197.7</v>
      </c>
      <c r="Z5" s="4">
        <v>183.1</v>
      </c>
      <c r="AA5" s="4">
        <v>204.2</v>
      </c>
      <c r="AB5" s="4">
        <v>181.3</v>
      </c>
      <c r="AC5" s="4">
        <v>168.1</v>
      </c>
      <c r="AD5" s="4">
        <v>179.3</v>
      </c>
      <c r="AE5" s="4">
        <v>175.6</v>
      </c>
      <c r="AF5" s="4">
        <v>183.4</v>
      </c>
      <c r="AG5" s="4">
        <v>170.1</v>
      </c>
      <c r="AH5" s="4">
        <v>182.2</v>
      </c>
      <c r="AI5" s="4">
        <v>160.4</v>
      </c>
      <c r="AJ5" s="4">
        <v>169.2</v>
      </c>
      <c r="AK5" s="4">
        <v>174.8</v>
      </c>
      <c r="AL5" s="4">
        <v>185.6</v>
      </c>
      <c r="AM5" s="4">
        <v>171.6</v>
      </c>
      <c r="AN5">
        <f>SUM(N5:AM5)</f>
        <v>4640.9000000000005</v>
      </c>
    </row>
    <row r="6" spans="1:40" x14ac:dyDescent="0.3">
      <c r="A6" t="s">
        <v>176</v>
      </c>
      <c r="B6" s="2" t="s">
        <v>6</v>
      </c>
      <c r="C6" s="3">
        <v>179.6</v>
      </c>
      <c r="D6" s="4">
        <v>179.4</v>
      </c>
      <c r="E6" s="3">
        <v>179.5</v>
      </c>
      <c r="G6" t="s">
        <v>176</v>
      </c>
      <c r="H6" s="2" t="s">
        <v>6</v>
      </c>
      <c r="I6" s="3">
        <v>179.6</v>
      </c>
      <c r="J6" s="4">
        <v>179.4</v>
      </c>
      <c r="K6" s="3">
        <v>179.5</v>
      </c>
      <c r="M6" s="11" t="s">
        <v>35</v>
      </c>
      <c r="N6" s="3">
        <v>173.7</v>
      </c>
      <c r="O6" s="3">
        <v>214.3</v>
      </c>
      <c r="P6" s="3">
        <v>173.2</v>
      </c>
      <c r="Q6" s="3">
        <v>179.5</v>
      </c>
      <c r="R6" s="3">
        <v>170</v>
      </c>
      <c r="S6" s="3">
        <v>172.2</v>
      </c>
      <c r="T6" s="3">
        <v>161</v>
      </c>
      <c r="U6" s="3">
        <v>175.6</v>
      </c>
      <c r="V6" s="3">
        <v>122.7</v>
      </c>
      <c r="W6" s="3">
        <v>218</v>
      </c>
      <c r="X6" s="3">
        <v>173.4</v>
      </c>
      <c r="Y6" s="3">
        <v>194.2</v>
      </c>
      <c r="Z6" s="3">
        <v>179.1</v>
      </c>
      <c r="AA6" s="3">
        <v>201</v>
      </c>
      <c r="AB6" s="3">
        <v>187.3</v>
      </c>
      <c r="AC6" s="3">
        <v>179.7</v>
      </c>
      <c r="AD6" s="3">
        <v>186.2</v>
      </c>
      <c r="AE6" s="4">
        <v>175.6</v>
      </c>
      <c r="AF6" s="3">
        <v>182.8</v>
      </c>
      <c r="AG6" s="3">
        <v>175.2</v>
      </c>
      <c r="AH6" s="3">
        <v>185.7</v>
      </c>
      <c r="AI6" s="3">
        <v>164.8</v>
      </c>
      <c r="AJ6" s="3">
        <v>171.2</v>
      </c>
      <c r="AK6" s="3">
        <v>177.1</v>
      </c>
      <c r="AL6" s="3">
        <v>185.2</v>
      </c>
      <c r="AM6" s="3">
        <v>175.7</v>
      </c>
      <c r="AN6">
        <f>SUM(N6:AM6)</f>
        <v>4654.3999999999996</v>
      </c>
    </row>
    <row r="7" spans="1:40" x14ac:dyDescent="0.3">
      <c r="A7" t="s">
        <v>176</v>
      </c>
      <c r="B7" s="2" t="s">
        <v>7</v>
      </c>
      <c r="C7" s="3">
        <v>173.3</v>
      </c>
      <c r="D7" s="4">
        <v>164.4</v>
      </c>
      <c r="E7" s="3">
        <v>170</v>
      </c>
      <c r="G7" t="s">
        <v>176</v>
      </c>
      <c r="H7" s="2" t="s">
        <v>7</v>
      </c>
      <c r="I7" s="3">
        <v>173.3</v>
      </c>
      <c r="J7" s="4">
        <v>164.4</v>
      </c>
      <c r="K7" s="3">
        <v>170</v>
      </c>
    </row>
    <row r="8" spans="1:40" x14ac:dyDescent="0.3">
      <c r="A8" t="s">
        <v>176</v>
      </c>
      <c r="B8" s="2" t="s">
        <v>8</v>
      </c>
      <c r="C8" s="3">
        <v>169</v>
      </c>
      <c r="D8" s="4">
        <v>175.8</v>
      </c>
      <c r="E8" s="3">
        <v>172.2</v>
      </c>
      <c r="G8" t="s">
        <v>176</v>
      </c>
      <c r="H8" s="2" t="s">
        <v>8</v>
      </c>
      <c r="I8" s="3">
        <v>169</v>
      </c>
      <c r="J8" s="4">
        <v>175.8</v>
      </c>
      <c r="K8" s="3">
        <v>172.2</v>
      </c>
    </row>
    <row r="9" spans="1:40" x14ac:dyDescent="0.3">
      <c r="A9" t="s">
        <v>176</v>
      </c>
      <c r="B9" s="2" t="s">
        <v>9</v>
      </c>
      <c r="C9" s="3">
        <v>148.69999999999999</v>
      </c>
      <c r="D9" s="4">
        <v>185</v>
      </c>
      <c r="E9" s="3">
        <v>161</v>
      </c>
      <c r="G9" t="s">
        <v>176</v>
      </c>
      <c r="H9" s="2" t="s">
        <v>9</v>
      </c>
      <c r="I9" s="3">
        <v>148.69999999999999</v>
      </c>
      <c r="J9" s="4">
        <v>185</v>
      </c>
      <c r="K9" s="3">
        <v>161</v>
      </c>
    </row>
    <row r="10" spans="1:40" x14ac:dyDescent="0.3">
      <c r="A10" t="s">
        <v>176</v>
      </c>
      <c r="B10" s="2" t="s">
        <v>10</v>
      </c>
      <c r="C10" s="3">
        <v>174.9</v>
      </c>
      <c r="D10" s="4">
        <v>176.9</v>
      </c>
      <c r="E10" s="3">
        <v>175.6</v>
      </c>
      <c r="G10" t="s">
        <v>176</v>
      </c>
      <c r="H10" s="2" t="s">
        <v>10</v>
      </c>
      <c r="I10" s="3">
        <v>174.9</v>
      </c>
      <c r="J10" s="4">
        <v>176.9</v>
      </c>
      <c r="K10" s="3">
        <v>175.6</v>
      </c>
    </row>
    <row r="11" spans="1:40" x14ac:dyDescent="0.3">
      <c r="A11" t="s">
        <v>176</v>
      </c>
      <c r="B11" s="2" t="s">
        <v>11</v>
      </c>
      <c r="C11" s="3">
        <v>121.9</v>
      </c>
      <c r="D11" s="4">
        <v>124.2</v>
      </c>
      <c r="E11" s="3">
        <v>122.7</v>
      </c>
      <c r="G11" t="s">
        <v>176</v>
      </c>
      <c r="H11" s="2" t="s">
        <v>11</v>
      </c>
      <c r="I11" s="3">
        <v>121.9</v>
      </c>
      <c r="J11" s="4">
        <v>124.2</v>
      </c>
      <c r="K11" s="3">
        <v>122.7</v>
      </c>
    </row>
    <row r="12" spans="1:40" x14ac:dyDescent="0.3">
      <c r="A12" t="s">
        <v>176</v>
      </c>
      <c r="B12" s="2" t="s">
        <v>12</v>
      </c>
      <c r="C12" s="3">
        <v>221</v>
      </c>
      <c r="D12" s="4">
        <v>211.9</v>
      </c>
      <c r="E12" s="3">
        <v>218</v>
      </c>
      <c r="G12" t="s">
        <v>176</v>
      </c>
      <c r="H12" s="2" t="s">
        <v>12</v>
      </c>
      <c r="I12" s="3">
        <v>221</v>
      </c>
      <c r="J12" s="4">
        <v>211.9</v>
      </c>
      <c r="K12" s="3">
        <v>218</v>
      </c>
    </row>
    <row r="13" spans="1:40" x14ac:dyDescent="0.3">
      <c r="A13" t="s">
        <v>166</v>
      </c>
      <c r="B13" s="2" t="s">
        <v>13</v>
      </c>
      <c r="C13" s="3">
        <v>178.7</v>
      </c>
      <c r="D13" s="4">
        <v>165.9</v>
      </c>
      <c r="E13" s="3">
        <v>173.4</v>
      </c>
      <c r="G13" t="s">
        <v>176</v>
      </c>
      <c r="H13" s="2" t="s">
        <v>14</v>
      </c>
      <c r="I13" s="3">
        <v>191.1</v>
      </c>
      <c r="J13" s="4">
        <v>197.7</v>
      </c>
      <c r="K13" s="3">
        <v>194.2</v>
      </c>
    </row>
    <row r="14" spans="1:40" x14ac:dyDescent="0.3">
      <c r="A14" t="s">
        <v>176</v>
      </c>
      <c r="B14" s="2" t="s">
        <v>14</v>
      </c>
      <c r="C14" s="3">
        <v>191.1</v>
      </c>
      <c r="D14" s="4">
        <v>197.7</v>
      </c>
      <c r="E14" s="3">
        <v>194.2</v>
      </c>
      <c r="G14" t="s">
        <v>176</v>
      </c>
      <c r="H14" s="2" t="s">
        <v>15</v>
      </c>
      <c r="I14" s="3">
        <v>176.8</v>
      </c>
      <c r="J14" s="4">
        <v>183.1</v>
      </c>
      <c r="K14" s="3">
        <v>179.1</v>
      </c>
    </row>
    <row r="15" spans="1:40" x14ac:dyDescent="0.3">
      <c r="A15" t="s">
        <v>176</v>
      </c>
      <c r="B15" s="2" t="s">
        <v>15</v>
      </c>
      <c r="C15" s="3">
        <v>176.8</v>
      </c>
      <c r="D15" s="4">
        <v>183.1</v>
      </c>
      <c r="E15" s="3">
        <v>179.1</v>
      </c>
    </row>
    <row r="16" spans="1:40" x14ac:dyDescent="0.3">
      <c r="A16" t="s">
        <v>166</v>
      </c>
      <c r="B16" s="2" t="s">
        <v>16</v>
      </c>
      <c r="C16" s="3">
        <v>199.9</v>
      </c>
      <c r="D16" s="4">
        <v>204.2</v>
      </c>
      <c r="E16" s="3">
        <v>201</v>
      </c>
    </row>
    <row r="17" spans="1:11" x14ac:dyDescent="0.3">
      <c r="A17" t="s">
        <v>17</v>
      </c>
      <c r="B17" s="2" t="s">
        <v>17</v>
      </c>
      <c r="C17" s="3">
        <v>191.2</v>
      </c>
      <c r="D17" s="4">
        <v>181.3</v>
      </c>
      <c r="E17" s="3">
        <v>187.3</v>
      </c>
    </row>
    <row r="18" spans="1:11" x14ac:dyDescent="0.3">
      <c r="A18" t="s">
        <v>17</v>
      </c>
      <c r="B18" s="2" t="s">
        <v>18</v>
      </c>
      <c r="C18" s="3">
        <v>187.9</v>
      </c>
      <c r="D18" s="4">
        <v>168.1</v>
      </c>
      <c r="E18" s="3">
        <v>179.7</v>
      </c>
    </row>
    <row r="19" spans="1:11" x14ac:dyDescent="0.3">
      <c r="A19" t="s">
        <v>17</v>
      </c>
      <c r="B19" s="2" t="s">
        <v>19</v>
      </c>
      <c r="C19" s="3">
        <v>190.8</v>
      </c>
      <c r="D19" s="4">
        <v>179.3</v>
      </c>
      <c r="E19" s="3">
        <v>186.2</v>
      </c>
      <c r="H19" s="9" t="s">
        <v>174</v>
      </c>
      <c r="I19" t="s">
        <v>241</v>
      </c>
      <c r="J19" t="s">
        <v>242</v>
      </c>
      <c r="K19" t="s">
        <v>243</v>
      </c>
    </row>
    <row r="20" spans="1:11" x14ac:dyDescent="0.3">
      <c r="A20" t="s">
        <v>167</v>
      </c>
      <c r="B20" s="2" t="s">
        <v>20</v>
      </c>
      <c r="C20" s="3" t="s">
        <v>139</v>
      </c>
      <c r="D20" s="4">
        <v>175.6</v>
      </c>
      <c r="E20" s="4">
        <v>175.6</v>
      </c>
      <c r="H20" s="10" t="s">
        <v>17</v>
      </c>
      <c r="I20">
        <v>569.90000000000009</v>
      </c>
      <c r="J20">
        <v>528.70000000000005</v>
      </c>
      <c r="K20">
        <v>553.20000000000005</v>
      </c>
    </row>
    <row r="21" spans="1:11" x14ac:dyDescent="0.3">
      <c r="A21" t="s">
        <v>21</v>
      </c>
      <c r="B21" s="2" t="s">
        <v>21</v>
      </c>
      <c r="C21" s="3">
        <v>182.5</v>
      </c>
      <c r="D21" s="4">
        <v>183.4</v>
      </c>
      <c r="E21" s="3">
        <v>182.8</v>
      </c>
      <c r="H21" s="10" t="s">
        <v>26</v>
      </c>
      <c r="I21">
        <v>180.3</v>
      </c>
      <c r="J21">
        <v>174.8</v>
      </c>
      <c r="K21">
        <v>177.1</v>
      </c>
    </row>
    <row r="22" spans="1:11" x14ac:dyDescent="0.3">
      <c r="A22" t="s">
        <v>167</v>
      </c>
      <c r="B22" s="2" t="s">
        <v>22</v>
      </c>
      <c r="C22" s="3">
        <v>179.8</v>
      </c>
      <c r="D22" s="4">
        <v>170.1</v>
      </c>
      <c r="E22" s="3">
        <v>175.2</v>
      </c>
      <c r="H22" s="10" t="s">
        <v>176</v>
      </c>
      <c r="I22">
        <v>2112.0000000000005</v>
      </c>
      <c r="J22">
        <v>2169.2000000000003</v>
      </c>
      <c r="K22">
        <v>2133.5</v>
      </c>
    </row>
    <row r="23" spans="1:11" x14ac:dyDescent="0.3">
      <c r="A23" t="s">
        <v>23</v>
      </c>
      <c r="B23" s="2" t="s">
        <v>23</v>
      </c>
      <c r="C23" s="3">
        <v>187.8</v>
      </c>
      <c r="D23" s="4">
        <v>182.2</v>
      </c>
      <c r="E23" s="3">
        <v>185.7</v>
      </c>
      <c r="H23" s="10" t="s">
        <v>21</v>
      </c>
      <c r="I23">
        <v>182.5</v>
      </c>
      <c r="J23">
        <v>183.4</v>
      </c>
      <c r="K23">
        <v>182.8</v>
      </c>
    </row>
    <row r="24" spans="1:11" x14ac:dyDescent="0.3">
      <c r="A24" t="s">
        <v>24</v>
      </c>
      <c r="B24" s="2" t="s">
        <v>24</v>
      </c>
      <c r="C24" s="3">
        <v>169.7</v>
      </c>
      <c r="D24" s="4">
        <v>160.4</v>
      </c>
      <c r="E24" s="3">
        <v>164.8</v>
      </c>
      <c r="H24" s="10" t="s">
        <v>23</v>
      </c>
      <c r="I24">
        <v>187.8</v>
      </c>
      <c r="J24">
        <v>182.2</v>
      </c>
      <c r="K24">
        <v>185.7</v>
      </c>
    </row>
    <row r="25" spans="1:11" x14ac:dyDescent="0.3">
      <c r="A25" t="s">
        <v>166</v>
      </c>
      <c r="B25" s="2" t="s">
        <v>25</v>
      </c>
      <c r="C25" s="3">
        <v>173.8</v>
      </c>
      <c r="D25" s="4">
        <v>169.2</v>
      </c>
      <c r="E25" s="3">
        <v>171.2</v>
      </c>
      <c r="H25" s="10" t="s">
        <v>167</v>
      </c>
      <c r="I25">
        <v>179.8</v>
      </c>
      <c r="J25">
        <v>345.7</v>
      </c>
      <c r="K25">
        <v>350.79999999999995</v>
      </c>
    </row>
    <row r="26" spans="1:11" x14ac:dyDescent="0.3">
      <c r="A26" t="s">
        <v>26</v>
      </c>
      <c r="B26" s="2" t="s">
        <v>26</v>
      </c>
      <c r="C26" s="3">
        <v>180.3</v>
      </c>
      <c r="D26" s="4">
        <v>174.8</v>
      </c>
      <c r="E26" s="3">
        <v>177.1</v>
      </c>
      <c r="H26" s="10" t="s">
        <v>166</v>
      </c>
      <c r="I26">
        <v>552.40000000000009</v>
      </c>
      <c r="J26">
        <v>539.29999999999995</v>
      </c>
      <c r="K26">
        <v>545.59999999999991</v>
      </c>
    </row>
    <row r="27" spans="1:11" x14ac:dyDescent="0.3">
      <c r="A27" t="s">
        <v>169</v>
      </c>
      <c r="B27" s="2" t="s">
        <v>27</v>
      </c>
      <c r="C27" s="3">
        <v>184.9</v>
      </c>
      <c r="D27" s="4">
        <v>185.6</v>
      </c>
      <c r="E27" s="3">
        <v>185.2</v>
      </c>
      <c r="H27" s="10" t="s">
        <v>169</v>
      </c>
      <c r="I27">
        <v>184.9</v>
      </c>
      <c r="J27">
        <v>185.6</v>
      </c>
      <c r="K27">
        <v>185.2</v>
      </c>
    </row>
    <row r="28" spans="1:11" x14ac:dyDescent="0.3">
      <c r="A28" t="s">
        <v>170</v>
      </c>
      <c r="B28" s="2" t="s">
        <v>28</v>
      </c>
      <c r="C28" s="3">
        <v>179.5</v>
      </c>
      <c r="D28" s="4">
        <v>171.6</v>
      </c>
      <c r="E28" s="3">
        <v>175.7</v>
      </c>
      <c r="H28" s="10" t="s">
        <v>170</v>
      </c>
      <c r="I28">
        <v>179.5</v>
      </c>
      <c r="J28">
        <v>171.6</v>
      </c>
      <c r="K28">
        <v>175.7</v>
      </c>
    </row>
    <row r="29" spans="1:11" x14ac:dyDescent="0.3">
      <c r="A29" t="s">
        <v>177</v>
      </c>
      <c r="C29">
        <f>SUM(C3:C28)</f>
        <v>4498.8000000000011</v>
      </c>
      <c r="D29">
        <f>SUM(D3:D28)</f>
        <v>4640.9000000000005</v>
      </c>
      <c r="E29">
        <f>SUM(E3:E28)</f>
        <v>4654.3999999999996</v>
      </c>
      <c r="H29" s="10" t="s">
        <v>24</v>
      </c>
      <c r="I29">
        <v>169.7</v>
      </c>
      <c r="J29">
        <v>160.4</v>
      </c>
      <c r="K29">
        <v>164.8</v>
      </c>
    </row>
    <row r="30" spans="1:11" x14ac:dyDescent="0.3">
      <c r="H30" s="10" t="s">
        <v>175</v>
      </c>
      <c r="I30">
        <v>4498.8000000000011</v>
      </c>
      <c r="J30">
        <v>4640.9000000000005</v>
      </c>
      <c r="K30">
        <v>4654.4000000000005</v>
      </c>
    </row>
    <row r="31" spans="1:11" ht="25.8" x14ac:dyDescent="0.3">
      <c r="A31" s="80" t="s">
        <v>201</v>
      </c>
      <c r="B31" s="80"/>
      <c r="C31" s="80"/>
    </row>
    <row r="33" spans="1:31" x14ac:dyDescent="0.3">
      <c r="A33" s="1" t="s">
        <v>0</v>
      </c>
      <c r="B33" s="2" t="s">
        <v>1</v>
      </c>
      <c r="C33" s="2" t="s">
        <v>2</v>
      </c>
      <c r="D33" s="5" t="s">
        <v>29</v>
      </c>
      <c r="E33" s="8" t="s">
        <v>183</v>
      </c>
    </row>
    <row r="34" spans="1:31" x14ac:dyDescent="0.3">
      <c r="A34" s="11" t="s">
        <v>35</v>
      </c>
      <c r="B34" s="3">
        <v>2017</v>
      </c>
      <c r="C34" s="3" t="s">
        <v>41</v>
      </c>
      <c r="D34" s="6">
        <v>131.4</v>
      </c>
    </row>
    <row r="35" spans="1:31" x14ac:dyDescent="0.3">
      <c r="A35" s="11" t="s">
        <v>35</v>
      </c>
      <c r="B35" s="3">
        <v>2018</v>
      </c>
      <c r="C35" s="3" t="s">
        <v>41</v>
      </c>
      <c r="D35" s="6">
        <v>137.80000000000001</v>
      </c>
      <c r="E35" s="14">
        <v>4.8706240487062444E-2</v>
      </c>
    </row>
    <row r="36" spans="1:31" x14ac:dyDescent="0.3">
      <c r="A36" s="12" t="s">
        <v>35</v>
      </c>
      <c r="B36" s="4">
        <v>2019</v>
      </c>
      <c r="C36" s="4" t="s">
        <v>41</v>
      </c>
      <c r="D36" s="7">
        <v>142</v>
      </c>
      <c r="E36" s="14">
        <v>3.5740335521517182E-2</v>
      </c>
    </row>
    <row r="37" spans="1:31" x14ac:dyDescent="0.3">
      <c r="A37" s="12" t="s">
        <v>35</v>
      </c>
      <c r="B37" s="4">
        <v>2020</v>
      </c>
      <c r="C37" s="4" t="s">
        <v>41</v>
      </c>
      <c r="D37" s="13">
        <v>151.01666666666668</v>
      </c>
      <c r="E37" s="14">
        <v>6.3497652582159711E-2</v>
      </c>
    </row>
    <row r="38" spans="1:31" x14ac:dyDescent="0.3">
      <c r="A38" s="12" t="s">
        <v>35</v>
      </c>
      <c r="B38" s="4">
        <v>2021</v>
      </c>
      <c r="C38" s="4" t="s">
        <v>41</v>
      </c>
      <c r="D38" s="7">
        <v>160.4</v>
      </c>
      <c r="E38" s="14">
        <v>6.2134422249199815E-2</v>
      </c>
    </row>
    <row r="39" spans="1:31" x14ac:dyDescent="0.3">
      <c r="A39" s="12" t="s">
        <v>35</v>
      </c>
      <c r="B39" s="4">
        <v>2022</v>
      </c>
      <c r="C39" s="4" t="s">
        <v>41</v>
      </c>
      <c r="D39" s="7">
        <v>171.7</v>
      </c>
      <c r="E39" s="14">
        <v>7.0448877805486171E-2</v>
      </c>
    </row>
    <row r="40" spans="1:31" x14ac:dyDescent="0.3">
      <c r="A40" s="12" t="s">
        <v>35</v>
      </c>
      <c r="B40" s="4">
        <v>2023</v>
      </c>
      <c r="C40" s="4" t="s">
        <v>41</v>
      </c>
      <c r="D40" s="7">
        <v>179.1</v>
      </c>
      <c r="E40" s="14">
        <v>4.3098427489807842E-2</v>
      </c>
    </row>
    <row r="46" spans="1:31" ht="21.6" customHeight="1" x14ac:dyDescent="0.3">
      <c r="A46" s="80" t="s">
        <v>192</v>
      </c>
      <c r="B46" s="80"/>
      <c r="C46" s="80"/>
      <c r="D46" s="16"/>
      <c r="E46" s="16"/>
    </row>
    <row r="47" spans="1:31" ht="21" x14ac:dyDescent="0.4">
      <c r="D47" s="81" t="s">
        <v>193</v>
      </c>
      <c r="E47" s="81"/>
    </row>
    <row r="48" spans="1:31" x14ac:dyDescent="0.3">
      <c r="A48" t="s">
        <v>171</v>
      </c>
      <c r="B48" t="s">
        <v>172</v>
      </c>
      <c r="C48" t="s">
        <v>173</v>
      </c>
      <c r="E48" t="s">
        <v>165</v>
      </c>
      <c r="F48" t="s">
        <v>165</v>
      </c>
      <c r="G48" t="s">
        <v>165</v>
      </c>
      <c r="H48" t="s">
        <v>165</v>
      </c>
      <c r="I48" t="s">
        <v>165</v>
      </c>
      <c r="J48" t="s">
        <v>165</v>
      </c>
      <c r="K48" t="s">
        <v>165</v>
      </c>
      <c r="L48" t="s">
        <v>165</v>
      </c>
      <c r="M48" t="s">
        <v>165</v>
      </c>
      <c r="N48" t="s">
        <v>165</v>
      </c>
      <c r="O48" t="s">
        <v>166</v>
      </c>
      <c r="P48" t="s">
        <v>165</v>
      </c>
      <c r="Q48" t="s">
        <v>165</v>
      </c>
      <c r="R48" t="s">
        <v>166</v>
      </c>
      <c r="S48" t="s">
        <v>17</v>
      </c>
      <c r="T48" t="s">
        <v>17</v>
      </c>
      <c r="U48" t="s">
        <v>17</v>
      </c>
      <c r="V48" t="s">
        <v>167</v>
      </c>
      <c r="W48" t="s">
        <v>21</v>
      </c>
      <c r="X48" t="s">
        <v>167</v>
      </c>
      <c r="Y48" t="s">
        <v>23</v>
      </c>
      <c r="Z48" t="s">
        <v>24</v>
      </c>
      <c r="AA48" t="s">
        <v>166</v>
      </c>
      <c r="AB48" t="s">
        <v>26</v>
      </c>
      <c r="AC48" t="s">
        <v>169</v>
      </c>
      <c r="AD48" t="s">
        <v>170</v>
      </c>
      <c r="AE48" t="s">
        <v>168</v>
      </c>
    </row>
    <row r="49" spans="1:31" x14ac:dyDescent="0.3">
      <c r="A49" t="s">
        <v>0</v>
      </c>
      <c r="B49" t="s">
        <v>1</v>
      </c>
      <c r="C49" t="s">
        <v>2</v>
      </c>
      <c r="D49" t="s">
        <v>165</v>
      </c>
      <c r="E49" t="s">
        <v>3</v>
      </c>
      <c r="F49" t="s">
        <v>4</v>
      </c>
      <c r="G49" t="s">
        <v>5</v>
      </c>
      <c r="H49" t="s">
        <v>6</v>
      </c>
      <c r="I49" t="s">
        <v>7</v>
      </c>
      <c r="J49" t="s">
        <v>8</v>
      </c>
      <c r="K49" t="s">
        <v>9</v>
      </c>
      <c r="L49" t="s">
        <v>10</v>
      </c>
      <c r="M49" t="s">
        <v>11</v>
      </c>
      <c r="N49" t="s">
        <v>12</v>
      </c>
      <c r="O49" t="s">
        <v>13</v>
      </c>
      <c r="P49" t="s">
        <v>14</v>
      </c>
      <c r="Q49" t="s">
        <v>15</v>
      </c>
      <c r="R49" t="s">
        <v>16</v>
      </c>
      <c r="S49" t="s">
        <v>17</v>
      </c>
      <c r="T49" t="s">
        <v>18</v>
      </c>
      <c r="U49" t="s">
        <v>19</v>
      </c>
      <c r="V49" t="s">
        <v>20</v>
      </c>
      <c r="W49" t="s">
        <v>21</v>
      </c>
      <c r="X49" t="s">
        <v>22</v>
      </c>
      <c r="Y49" t="s">
        <v>23</v>
      </c>
      <c r="Z49" t="s">
        <v>24</v>
      </c>
      <c r="AA49" t="s">
        <v>25</v>
      </c>
      <c r="AB49" t="s">
        <v>26</v>
      </c>
      <c r="AC49" t="s">
        <v>27</v>
      </c>
      <c r="AD49" t="s">
        <v>28</v>
      </c>
      <c r="AE49" t="s">
        <v>29</v>
      </c>
    </row>
    <row r="50" spans="1:31" x14ac:dyDescent="0.3">
      <c r="A50" t="s">
        <v>30</v>
      </c>
      <c r="B50">
        <v>2022</v>
      </c>
      <c r="C50" t="s">
        <v>41</v>
      </c>
      <c r="D50">
        <f>SUM(E50:Q50)</f>
        <v>2226.8000000000002</v>
      </c>
      <c r="E50">
        <v>152.9</v>
      </c>
      <c r="F50">
        <v>214.7</v>
      </c>
      <c r="G50">
        <v>161.4</v>
      </c>
      <c r="H50">
        <v>164.6</v>
      </c>
      <c r="I50">
        <v>209.9</v>
      </c>
      <c r="J50">
        <v>168</v>
      </c>
      <c r="K50">
        <v>160.4</v>
      </c>
      <c r="L50">
        <v>165</v>
      </c>
      <c r="M50">
        <v>118.9</v>
      </c>
      <c r="N50">
        <v>186.6</v>
      </c>
      <c r="O50">
        <v>173.2</v>
      </c>
      <c r="P50">
        <v>180.4</v>
      </c>
      <c r="Q50">
        <v>170.8</v>
      </c>
      <c r="R50">
        <v>192.9</v>
      </c>
      <c r="S50">
        <v>179.3</v>
      </c>
      <c r="T50">
        <v>177.2</v>
      </c>
      <c r="U50">
        <v>179</v>
      </c>
      <c r="V50" t="s">
        <v>32</v>
      </c>
      <c r="W50">
        <v>175.3</v>
      </c>
      <c r="X50">
        <v>168.9</v>
      </c>
      <c r="Y50">
        <v>177.7</v>
      </c>
      <c r="Z50">
        <v>167.1</v>
      </c>
      <c r="AA50">
        <v>167.6</v>
      </c>
      <c r="AB50">
        <v>171.8</v>
      </c>
      <c r="AC50">
        <v>168.5</v>
      </c>
      <c r="AD50">
        <v>170.9</v>
      </c>
      <c r="AE50">
        <v>172.5</v>
      </c>
    </row>
    <row r="51" spans="1:31" x14ac:dyDescent="0.3">
      <c r="A51" t="s">
        <v>30</v>
      </c>
      <c r="B51">
        <v>2022</v>
      </c>
      <c r="C51" t="s">
        <v>42</v>
      </c>
      <c r="D51">
        <f t="shared" ref="D51:D62" si="0">SUM(E51:Q51)</f>
        <v>2248.3000000000002</v>
      </c>
      <c r="E51">
        <v>153.80000000000001</v>
      </c>
      <c r="F51">
        <v>217.2</v>
      </c>
      <c r="G51">
        <v>169.6</v>
      </c>
      <c r="H51">
        <v>165.4</v>
      </c>
      <c r="I51">
        <v>208.1</v>
      </c>
      <c r="J51">
        <v>165.8</v>
      </c>
      <c r="K51">
        <v>167.3</v>
      </c>
      <c r="L51">
        <v>164.6</v>
      </c>
      <c r="M51">
        <v>119.1</v>
      </c>
      <c r="N51">
        <v>188.9</v>
      </c>
      <c r="O51">
        <v>174.2</v>
      </c>
      <c r="P51">
        <v>181.9</v>
      </c>
      <c r="Q51">
        <v>172.4</v>
      </c>
      <c r="R51">
        <v>192.9</v>
      </c>
      <c r="S51">
        <v>180.7</v>
      </c>
      <c r="T51">
        <v>178.7</v>
      </c>
      <c r="U51">
        <v>180.4</v>
      </c>
      <c r="V51" t="s">
        <v>32</v>
      </c>
      <c r="W51">
        <v>176.7</v>
      </c>
      <c r="X51">
        <v>170.3</v>
      </c>
      <c r="Y51">
        <v>178.2</v>
      </c>
      <c r="Z51">
        <v>165.5</v>
      </c>
      <c r="AA51">
        <v>168</v>
      </c>
      <c r="AB51">
        <v>172.6</v>
      </c>
      <c r="AC51">
        <v>169.5</v>
      </c>
      <c r="AD51">
        <v>171</v>
      </c>
      <c r="AE51">
        <v>173.6</v>
      </c>
    </row>
    <row r="52" spans="1:31" x14ac:dyDescent="0.3">
      <c r="A52" t="s">
        <v>30</v>
      </c>
      <c r="B52">
        <v>2022</v>
      </c>
      <c r="C52" t="s">
        <v>44</v>
      </c>
      <c r="D52">
        <f t="shared" si="0"/>
        <v>2252.5</v>
      </c>
      <c r="E52">
        <v>155.19999999999999</v>
      </c>
      <c r="F52">
        <v>210.8</v>
      </c>
      <c r="G52">
        <v>174.3</v>
      </c>
      <c r="H52">
        <v>166.3</v>
      </c>
      <c r="I52">
        <v>202.2</v>
      </c>
      <c r="J52">
        <v>169.6</v>
      </c>
      <c r="K52">
        <v>168.6</v>
      </c>
      <c r="L52">
        <v>164.4</v>
      </c>
      <c r="M52">
        <v>119.2</v>
      </c>
      <c r="N52">
        <v>191.8</v>
      </c>
      <c r="O52">
        <v>174.5</v>
      </c>
      <c r="P52">
        <v>183.1</v>
      </c>
      <c r="Q52">
        <v>172.5</v>
      </c>
      <c r="R52">
        <v>193.2</v>
      </c>
      <c r="S52">
        <v>182</v>
      </c>
      <c r="T52">
        <v>180.3</v>
      </c>
      <c r="U52">
        <v>181.7</v>
      </c>
      <c r="V52" t="s">
        <v>32</v>
      </c>
      <c r="W52">
        <v>179.6</v>
      </c>
      <c r="X52">
        <v>171.3</v>
      </c>
      <c r="Y52">
        <v>178.8</v>
      </c>
      <c r="Z52">
        <v>166.3</v>
      </c>
      <c r="AA52">
        <v>168.6</v>
      </c>
      <c r="AB52">
        <v>174.7</v>
      </c>
      <c r="AC52">
        <v>169.7</v>
      </c>
      <c r="AD52">
        <v>171.8</v>
      </c>
      <c r="AE52">
        <v>174.3</v>
      </c>
    </row>
    <row r="53" spans="1:31" x14ac:dyDescent="0.3">
      <c r="A53" t="s">
        <v>30</v>
      </c>
      <c r="B53">
        <v>2022</v>
      </c>
      <c r="C53" t="s">
        <v>46</v>
      </c>
      <c r="D53">
        <f t="shared" si="0"/>
        <v>2255.7999999999997</v>
      </c>
      <c r="E53">
        <v>159.5</v>
      </c>
      <c r="F53">
        <v>204.1</v>
      </c>
      <c r="G53">
        <v>168.3</v>
      </c>
      <c r="H53">
        <v>167.9</v>
      </c>
      <c r="I53">
        <v>198.1</v>
      </c>
      <c r="J53">
        <v>169.2</v>
      </c>
      <c r="K53">
        <v>173.1</v>
      </c>
      <c r="L53">
        <v>167.1</v>
      </c>
      <c r="M53">
        <v>120.2</v>
      </c>
      <c r="N53">
        <v>195.6</v>
      </c>
      <c r="O53">
        <v>174.8</v>
      </c>
      <c r="P53">
        <v>184</v>
      </c>
      <c r="Q53">
        <v>173.9</v>
      </c>
      <c r="R53">
        <v>193.7</v>
      </c>
      <c r="S53">
        <v>183.2</v>
      </c>
      <c r="T53">
        <v>181.7</v>
      </c>
      <c r="U53">
        <v>183</v>
      </c>
      <c r="V53" t="s">
        <v>32</v>
      </c>
      <c r="W53">
        <v>179.1</v>
      </c>
      <c r="X53">
        <v>172.3</v>
      </c>
      <c r="Y53">
        <v>179.4</v>
      </c>
      <c r="Z53">
        <v>166.6</v>
      </c>
      <c r="AA53">
        <v>169.3</v>
      </c>
      <c r="AB53">
        <v>175.7</v>
      </c>
      <c r="AC53">
        <v>171.1</v>
      </c>
      <c r="AD53">
        <v>172.6</v>
      </c>
      <c r="AE53">
        <v>175.3</v>
      </c>
    </row>
    <row r="54" spans="1:31" x14ac:dyDescent="0.3">
      <c r="A54" t="s">
        <v>30</v>
      </c>
      <c r="B54">
        <v>2022</v>
      </c>
      <c r="C54" t="s">
        <v>48</v>
      </c>
      <c r="D54">
        <f t="shared" si="0"/>
        <v>2267.8000000000002</v>
      </c>
      <c r="E54">
        <v>162.9</v>
      </c>
      <c r="F54">
        <v>206.7</v>
      </c>
      <c r="G54">
        <v>169</v>
      </c>
      <c r="H54">
        <v>169.5</v>
      </c>
      <c r="I54">
        <v>194.1</v>
      </c>
      <c r="J54">
        <v>164.1</v>
      </c>
      <c r="K54">
        <v>176.9</v>
      </c>
      <c r="L54">
        <v>169</v>
      </c>
      <c r="M54">
        <v>120.8</v>
      </c>
      <c r="N54">
        <v>199.1</v>
      </c>
      <c r="O54">
        <v>175.4</v>
      </c>
      <c r="P54">
        <v>184.8</v>
      </c>
      <c r="Q54">
        <v>175.5</v>
      </c>
      <c r="R54">
        <v>194.5</v>
      </c>
      <c r="S54">
        <v>184.7</v>
      </c>
      <c r="T54">
        <v>183.3</v>
      </c>
      <c r="U54">
        <v>184.5</v>
      </c>
      <c r="V54" t="s">
        <v>32</v>
      </c>
      <c r="W54">
        <v>179.7</v>
      </c>
      <c r="X54">
        <v>173.6</v>
      </c>
      <c r="Y54">
        <v>180.2</v>
      </c>
      <c r="Z54">
        <v>166.9</v>
      </c>
      <c r="AA54">
        <v>170</v>
      </c>
      <c r="AB54">
        <v>176.2</v>
      </c>
      <c r="AC54">
        <v>170.8</v>
      </c>
      <c r="AD54">
        <v>173.1</v>
      </c>
      <c r="AE54">
        <v>176.4</v>
      </c>
    </row>
    <row r="55" spans="1:31" x14ac:dyDescent="0.3">
      <c r="A55" t="s">
        <v>30</v>
      </c>
      <c r="B55">
        <v>2022</v>
      </c>
      <c r="C55" t="s">
        <v>50</v>
      </c>
      <c r="D55">
        <f t="shared" si="0"/>
        <v>2284.5</v>
      </c>
      <c r="E55">
        <v>164.7</v>
      </c>
      <c r="F55">
        <v>208.8</v>
      </c>
      <c r="G55">
        <v>170.3</v>
      </c>
      <c r="H55">
        <v>170.9</v>
      </c>
      <c r="I55">
        <v>191.6</v>
      </c>
      <c r="J55">
        <v>162.19999999999999</v>
      </c>
      <c r="K55">
        <v>184.8</v>
      </c>
      <c r="L55">
        <v>169.7</v>
      </c>
      <c r="M55">
        <v>121.1</v>
      </c>
      <c r="N55">
        <v>201.6</v>
      </c>
      <c r="O55">
        <v>175.8</v>
      </c>
      <c r="P55">
        <v>185.6</v>
      </c>
      <c r="Q55">
        <v>177.4</v>
      </c>
      <c r="R55">
        <v>194.9</v>
      </c>
      <c r="S55">
        <v>186.1</v>
      </c>
      <c r="T55">
        <v>184.4</v>
      </c>
      <c r="U55">
        <v>185.9</v>
      </c>
      <c r="V55" t="s">
        <v>32</v>
      </c>
      <c r="W55">
        <v>180.8</v>
      </c>
      <c r="X55">
        <v>174.4</v>
      </c>
      <c r="Y55">
        <v>181.2</v>
      </c>
      <c r="Z55">
        <v>167.4</v>
      </c>
      <c r="AA55">
        <v>170.6</v>
      </c>
      <c r="AB55">
        <v>176.5</v>
      </c>
      <c r="AC55">
        <v>172</v>
      </c>
      <c r="AD55">
        <v>173.9</v>
      </c>
      <c r="AE55">
        <v>177.9</v>
      </c>
    </row>
    <row r="56" spans="1:31" x14ac:dyDescent="0.3">
      <c r="A56" t="s">
        <v>30</v>
      </c>
      <c r="B56">
        <v>2022</v>
      </c>
      <c r="C56" t="s">
        <v>53</v>
      </c>
      <c r="D56">
        <f t="shared" si="0"/>
        <v>2287.6999999999998</v>
      </c>
      <c r="E56">
        <v>166.9</v>
      </c>
      <c r="F56">
        <v>207.2</v>
      </c>
      <c r="G56">
        <v>180.2</v>
      </c>
      <c r="H56">
        <v>172.3</v>
      </c>
      <c r="I56">
        <v>194</v>
      </c>
      <c r="J56">
        <v>159.1</v>
      </c>
      <c r="K56">
        <v>171.6</v>
      </c>
      <c r="L56">
        <v>170.2</v>
      </c>
      <c r="M56">
        <v>121.5</v>
      </c>
      <c r="N56">
        <v>204.8</v>
      </c>
      <c r="O56">
        <v>176.4</v>
      </c>
      <c r="P56">
        <v>186.9</v>
      </c>
      <c r="Q56">
        <v>176.6</v>
      </c>
      <c r="R56">
        <v>195.5</v>
      </c>
      <c r="S56">
        <v>187.2</v>
      </c>
      <c r="T56">
        <v>185.2</v>
      </c>
      <c r="U56">
        <v>186.9</v>
      </c>
      <c r="V56" t="s">
        <v>32</v>
      </c>
      <c r="W56">
        <v>181.9</v>
      </c>
      <c r="X56">
        <v>175.5</v>
      </c>
      <c r="Y56">
        <v>182.3</v>
      </c>
      <c r="Z56">
        <v>167.5</v>
      </c>
      <c r="AA56">
        <v>170.8</v>
      </c>
      <c r="AB56">
        <v>176.9</v>
      </c>
      <c r="AC56">
        <v>173.4</v>
      </c>
      <c r="AD56">
        <v>174.6</v>
      </c>
      <c r="AE56">
        <v>177.8</v>
      </c>
    </row>
    <row r="57" spans="1:31" x14ac:dyDescent="0.3">
      <c r="A57" t="s">
        <v>30</v>
      </c>
      <c r="B57">
        <v>2022</v>
      </c>
      <c r="C57" t="s">
        <v>55</v>
      </c>
      <c r="D57">
        <f t="shared" si="0"/>
        <v>2277.1</v>
      </c>
      <c r="E57">
        <v>168.8</v>
      </c>
      <c r="F57">
        <v>206.9</v>
      </c>
      <c r="G57">
        <v>189.1</v>
      </c>
      <c r="H57">
        <v>173.4</v>
      </c>
      <c r="I57">
        <v>193.9</v>
      </c>
      <c r="J57">
        <v>156.69999999999999</v>
      </c>
      <c r="K57">
        <v>150.19999999999999</v>
      </c>
      <c r="L57">
        <v>170.5</v>
      </c>
      <c r="M57">
        <v>121.2</v>
      </c>
      <c r="N57">
        <v>207.5</v>
      </c>
      <c r="O57">
        <v>176.8</v>
      </c>
      <c r="P57">
        <v>187.7</v>
      </c>
      <c r="Q57">
        <v>174.4</v>
      </c>
      <c r="R57">
        <v>195.9</v>
      </c>
      <c r="S57">
        <v>188.1</v>
      </c>
      <c r="T57">
        <v>185.9</v>
      </c>
      <c r="U57">
        <v>187.8</v>
      </c>
      <c r="V57" t="s">
        <v>32</v>
      </c>
      <c r="W57">
        <v>182.8</v>
      </c>
      <c r="X57">
        <v>176.4</v>
      </c>
      <c r="Y57">
        <v>183.5</v>
      </c>
      <c r="Z57">
        <v>167.8</v>
      </c>
      <c r="AA57">
        <v>171.2</v>
      </c>
      <c r="AB57">
        <v>177.3</v>
      </c>
      <c r="AC57">
        <v>175.7</v>
      </c>
      <c r="AD57">
        <v>175.5</v>
      </c>
      <c r="AE57">
        <v>177.1</v>
      </c>
    </row>
    <row r="58" spans="1:31" x14ac:dyDescent="0.3">
      <c r="A58" t="s">
        <v>30</v>
      </c>
      <c r="B58">
        <v>2023</v>
      </c>
      <c r="C58" t="s">
        <v>31</v>
      </c>
      <c r="D58">
        <f t="shared" si="0"/>
        <v>2283.2000000000003</v>
      </c>
      <c r="E58">
        <v>174</v>
      </c>
      <c r="F58">
        <v>208.3</v>
      </c>
      <c r="G58">
        <v>192.9</v>
      </c>
      <c r="H58">
        <v>174.3</v>
      </c>
      <c r="I58">
        <v>192.6</v>
      </c>
      <c r="J58">
        <v>156.30000000000001</v>
      </c>
      <c r="K58">
        <v>142.9</v>
      </c>
      <c r="L58">
        <v>170.7</v>
      </c>
      <c r="M58">
        <v>120.3</v>
      </c>
      <c r="N58">
        <v>210.5</v>
      </c>
      <c r="O58">
        <v>176.9</v>
      </c>
      <c r="P58">
        <v>188.5</v>
      </c>
      <c r="Q58">
        <v>175</v>
      </c>
      <c r="R58">
        <v>196.9</v>
      </c>
      <c r="S58">
        <v>189</v>
      </c>
      <c r="T58">
        <v>186.3</v>
      </c>
      <c r="U58">
        <v>188.6</v>
      </c>
      <c r="V58" t="s">
        <v>32</v>
      </c>
      <c r="W58">
        <v>183.2</v>
      </c>
      <c r="X58">
        <v>177.2</v>
      </c>
      <c r="Y58">
        <v>184.7</v>
      </c>
      <c r="Z58">
        <v>168.2</v>
      </c>
      <c r="AA58">
        <v>171.8</v>
      </c>
      <c r="AB58">
        <v>177.8</v>
      </c>
      <c r="AC58">
        <v>178.4</v>
      </c>
      <c r="AD58">
        <v>176.5</v>
      </c>
      <c r="AE58">
        <v>177.8</v>
      </c>
    </row>
    <row r="59" spans="1:31" x14ac:dyDescent="0.3">
      <c r="A59" t="s">
        <v>30</v>
      </c>
      <c r="B59">
        <v>2023</v>
      </c>
      <c r="C59" t="s">
        <v>36</v>
      </c>
      <c r="D59">
        <f t="shared" si="0"/>
        <v>2265.6999999999998</v>
      </c>
      <c r="E59">
        <v>174.2</v>
      </c>
      <c r="F59">
        <v>205.2</v>
      </c>
      <c r="G59">
        <v>173.9</v>
      </c>
      <c r="H59">
        <v>177</v>
      </c>
      <c r="I59">
        <v>183.4</v>
      </c>
      <c r="J59">
        <v>167.2</v>
      </c>
      <c r="K59">
        <v>140.9</v>
      </c>
      <c r="L59">
        <v>170.4</v>
      </c>
      <c r="M59">
        <v>119.1</v>
      </c>
      <c r="N59">
        <v>212.1</v>
      </c>
      <c r="O59">
        <v>177.6</v>
      </c>
      <c r="P59">
        <v>189.9</v>
      </c>
      <c r="Q59">
        <v>174.8</v>
      </c>
      <c r="R59">
        <v>198.3</v>
      </c>
      <c r="S59">
        <v>190</v>
      </c>
      <c r="T59">
        <v>187</v>
      </c>
      <c r="U59">
        <v>189.6</v>
      </c>
      <c r="V59" t="s">
        <v>32</v>
      </c>
      <c r="W59">
        <v>181.6</v>
      </c>
      <c r="X59">
        <v>178.6</v>
      </c>
      <c r="Y59">
        <v>186.6</v>
      </c>
      <c r="Z59">
        <v>169</v>
      </c>
      <c r="AA59">
        <v>172.8</v>
      </c>
      <c r="AB59">
        <v>178.5</v>
      </c>
      <c r="AC59">
        <v>180.7</v>
      </c>
      <c r="AD59">
        <v>177.9</v>
      </c>
      <c r="AE59">
        <v>178</v>
      </c>
    </row>
    <row r="60" spans="1:31" x14ac:dyDescent="0.3">
      <c r="A60" t="s">
        <v>30</v>
      </c>
      <c r="B60">
        <v>2023</v>
      </c>
      <c r="C60" t="s">
        <v>38</v>
      </c>
      <c r="D60">
        <f t="shared" si="0"/>
        <v>2265.8000000000002</v>
      </c>
      <c r="E60">
        <v>174.3</v>
      </c>
      <c r="F60">
        <v>205.2</v>
      </c>
      <c r="G60">
        <v>173.9</v>
      </c>
      <c r="H60">
        <v>177</v>
      </c>
      <c r="I60">
        <v>183.3</v>
      </c>
      <c r="J60">
        <v>167.2</v>
      </c>
      <c r="K60">
        <v>140.9</v>
      </c>
      <c r="L60">
        <v>170.5</v>
      </c>
      <c r="M60">
        <v>119.1</v>
      </c>
      <c r="N60">
        <v>212.1</v>
      </c>
      <c r="O60">
        <v>177.6</v>
      </c>
      <c r="P60">
        <v>189.9</v>
      </c>
      <c r="Q60">
        <v>174.8</v>
      </c>
      <c r="R60">
        <v>198.4</v>
      </c>
      <c r="S60">
        <v>190</v>
      </c>
      <c r="T60">
        <v>187</v>
      </c>
      <c r="U60">
        <v>189.6</v>
      </c>
      <c r="V60" t="s">
        <v>32</v>
      </c>
      <c r="W60">
        <v>181.4</v>
      </c>
      <c r="X60">
        <v>178.6</v>
      </c>
      <c r="Y60">
        <v>186.6</v>
      </c>
      <c r="Z60">
        <v>169</v>
      </c>
      <c r="AA60">
        <v>172.8</v>
      </c>
      <c r="AB60">
        <v>178.5</v>
      </c>
      <c r="AC60">
        <v>180.7</v>
      </c>
      <c r="AD60">
        <v>177.9</v>
      </c>
      <c r="AE60">
        <v>178</v>
      </c>
    </row>
    <row r="61" spans="1:31" x14ac:dyDescent="0.3">
      <c r="A61" t="s">
        <v>30</v>
      </c>
      <c r="B61">
        <v>2023</v>
      </c>
      <c r="C61" t="s">
        <v>39</v>
      </c>
      <c r="D61">
        <f t="shared" si="0"/>
        <v>2274.1999999999998</v>
      </c>
      <c r="E61">
        <v>173.3</v>
      </c>
      <c r="F61">
        <v>206.9</v>
      </c>
      <c r="G61">
        <v>167.9</v>
      </c>
      <c r="H61">
        <v>178.2</v>
      </c>
      <c r="I61">
        <v>178.5</v>
      </c>
      <c r="J61">
        <v>173.7</v>
      </c>
      <c r="K61">
        <v>142.80000000000001</v>
      </c>
      <c r="L61">
        <v>172.8</v>
      </c>
      <c r="M61">
        <v>120.4</v>
      </c>
      <c r="N61">
        <v>215.5</v>
      </c>
      <c r="O61">
        <v>178.2</v>
      </c>
      <c r="P61">
        <v>190.5</v>
      </c>
      <c r="Q61">
        <v>175.5</v>
      </c>
      <c r="R61">
        <v>199.5</v>
      </c>
      <c r="S61">
        <v>190.7</v>
      </c>
      <c r="T61">
        <v>187.3</v>
      </c>
      <c r="U61">
        <v>190.2</v>
      </c>
      <c r="V61" t="s">
        <v>139</v>
      </c>
      <c r="W61">
        <v>181.5</v>
      </c>
      <c r="X61">
        <v>179.1</v>
      </c>
      <c r="Y61">
        <v>187.2</v>
      </c>
      <c r="Z61">
        <v>169.4</v>
      </c>
      <c r="AA61">
        <v>173.2</v>
      </c>
      <c r="AB61">
        <v>179.4</v>
      </c>
      <c r="AC61">
        <v>183.8</v>
      </c>
      <c r="AD61">
        <v>178.9</v>
      </c>
      <c r="AE61">
        <v>178.8</v>
      </c>
    </row>
    <row r="62" spans="1:31" x14ac:dyDescent="0.3">
      <c r="A62" t="s">
        <v>30</v>
      </c>
      <c r="B62">
        <v>2023</v>
      </c>
      <c r="C62" t="s">
        <v>41</v>
      </c>
      <c r="D62">
        <f t="shared" si="0"/>
        <v>2119.7000000000003</v>
      </c>
      <c r="E62">
        <v>173.2</v>
      </c>
      <c r="F62">
        <v>211.5</v>
      </c>
      <c r="G62" t="s">
        <v>199</v>
      </c>
      <c r="H62">
        <v>179.6</v>
      </c>
      <c r="I62">
        <v>173.3</v>
      </c>
      <c r="J62">
        <v>169</v>
      </c>
      <c r="K62">
        <v>148.69999999999999</v>
      </c>
      <c r="L62">
        <v>174.9</v>
      </c>
      <c r="M62">
        <v>121.9</v>
      </c>
      <c r="N62">
        <v>221</v>
      </c>
      <c r="O62">
        <v>178.7</v>
      </c>
      <c r="P62">
        <v>191.1</v>
      </c>
      <c r="Q62">
        <v>176.8</v>
      </c>
      <c r="R62">
        <v>199.9</v>
      </c>
      <c r="S62">
        <v>191.2</v>
      </c>
      <c r="T62">
        <v>187.9</v>
      </c>
      <c r="U62">
        <v>190.8</v>
      </c>
      <c r="V62" t="s">
        <v>139</v>
      </c>
      <c r="W62">
        <v>182.5</v>
      </c>
      <c r="X62">
        <v>179.8</v>
      </c>
      <c r="Y62">
        <v>187.8</v>
      </c>
      <c r="Z62">
        <v>169.7</v>
      </c>
      <c r="AA62">
        <v>173.8</v>
      </c>
      <c r="AB62">
        <v>180.3</v>
      </c>
      <c r="AC62">
        <v>184.9</v>
      </c>
      <c r="AD62">
        <v>179.5</v>
      </c>
      <c r="AE62">
        <v>179.8</v>
      </c>
    </row>
    <row r="64" spans="1:31" x14ac:dyDescent="0.3">
      <c r="C64" t="s">
        <v>165</v>
      </c>
      <c r="E64" t="s">
        <v>166</v>
      </c>
      <c r="G64" t="s">
        <v>184</v>
      </c>
      <c r="I64" t="s">
        <v>167</v>
      </c>
      <c r="K64" t="s">
        <v>185</v>
      </c>
      <c r="M64" t="s">
        <v>186</v>
      </c>
      <c r="O64" t="s">
        <v>24</v>
      </c>
      <c r="Q64" t="s">
        <v>187</v>
      </c>
      <c r="S64" t="s">
        <v>170</v>
      </c>
    </row>
    <row r="65" spans="1:30" x14ac:dyDescent="0.3">
      <c r="A65">
        <v>2022</v>
      </c>
      <c r="B65" t="s">
        <v>41</v>
      </c>
      <c r="C65">
        <f t="shared" ref="C65:C77" si="1">SUM(E50:N50,P50:Q50)</f>
        <v>2053.6000000000004</v>
      </c>
      <c r="E65">
        <f t="shared" ref="E65:E77" si="2">SUM(O50,R50,AA50,AC50)</f>
        <v>702.2</v>
      </c>
      <c r="G65">
        <f t="shared" ref="G65:G77" si="3">SUM(S50:U50)</f>
        <v>535.5</v>
      </c>
      <c r="I65">
        <f t="shared" ref="I65:I77" si="4">SUM(X50)</f>
        <v>168.9</v>
      </c>
      <c r="K65">
        <v>175.3</v>
      </c>
      <c r="M65">
        <f t="shared" ref="M65:M77" si="5">SUM(Y50)</f>
        <v>177.7</v>
      </c>
      <c r="O65">
        <v>167.1</v>
      </c>
      <c r="Q65">
        <v>171.8</v>
      </c>
      <c r="S65">
        <v>170.9</v>
      </c>
    </row>
    <row r="66" spans="1:30" x14ac:dyDescent="0.3">
      <c r="A66">
        <v>2022</v>
      </c>
      <c r="B66" t="s">
        <v>42</v>
      </c>
      <c r="C66">
        <f t="shared" si="1"/>
        <v>2074.1</v>
      </c>
      <c r="D66" s="14">
        <f>(C66-C65)/C65</f>
        <v>9.9824698091154768E-3</v>
      </c>
      <c r="E66">
        <f t="shared" si="2"/>
        <v>704.6</v>
      </c>
      <c r="F66" s="14">
        <f>(E66-E65)/E65</f>
        <v>3.4178296781543394E-3</v>
      </c>
      <c r="G66">
        <f t="shared" si="3"/>
        <v>539.79999999999995</v>
      </c>
      <c r="H66" s="14">
        <f>(G66-G65)/G65</f>
        <v>8.0298786181138265E-3</v>
      </c>
      <c r="I66">
        <f t="shared" si="4"/>
        <v>170.3</v>
      </c>
      <c r="J66" s="14">
        <f>(I66-I65)/I65</f>
        <v>8.28892835997635E-3</v>
      </c>
      <c r="K66">
        <v>176.7</v>
      </c>
      <c r="L66" s="14">
        <f>(K66-K65)/K65</f>
        <v>7.9863091842554308E-3</v>
      </c>
      <c r="M66">
        <f t="shared" si="5"/>
        <v>178.2</v>
      </c>
      <c r="N66" s="14">
        <f>(M66-M65)/M65</f>
        <v>2.8137310073157009E-3</v>
      </c>
      <c r="O66">
        <v>165.5</v>
      </c>
      <c r="P66" s="14">
        <f>(O66-O65)/O65</f>
        <v>-9.5751047277079261E-3</v>
      </c>
      <c r="Q66">
        <v>172.6</v>
      </c>
      <c r="R66" s="14">
        <f>(Q66-Q65)/Q65</f>
        <v>4.6565774155994345E-3</v>
      </c>
      <c r="S66">
        <v>171</v>
      </c>
      <c r="T66" s="14">
        <f>(S66-S65)/S65</f>
        <v>5.8513750731418557E-4</v>
      </c>
    </row>
    <row r="67" spans="1:30" x14ac:dyDescent="0.3">
      <c r="A67">
        <v>2022</v>
      </c>
      <c r="B67" t="s">
        <v>44</v>
      </c>
      <c r="C67">
        <f t="shared" si="1"/>
        <v>2078</v>
      </c>
      <c r="D67" s="14">
        <f t="shared" ref="D67:D77" si="6">(C67-C66)/C66</f>
        <v>1.8803336386867032E-3</v>
      </c>
      <c r="E67">
        <f t="shared" si="2"/>
        <v>706</v>
      </c>
      <c r="F67" s="14">
        <f t="shared" ref="F67:F77" si="7">(E67-E66)/E66</f>
        <v>1.9869429463525083E-3</v>
      </c>
      <c r="G67">
        <f t="shared" si="3"/>
        <v>544</v>
      </c>
      <c r="H67" s="14">
        <f t="shared" ref="H67:H77" si="8">(G67-G66)/G66</f>
        <v>7.7806595035199069E-3</v>
      </c>
      <c r="I67">
        <f t="shared" si="4"/>
        <v>171.3</v>
      </c>
      <c r="J67" s="14">
        <f t="shared" ref="J67:J77" si="9">(I67-I66)/I66</f>
        <v>5.8719906048150319E-3</v>
      </c>
      <c r="K67">
        <v>179.6</v>
      </c>
      <c r="L67" s="14">
        <f t="shared" ref="L67:L77" si="10">(K67-K66)/K66</f>
        <v>1.6411997736276208E-2</v>
      </c>
      <c r="M67">
        <f t="shared" si="5"/>
        <v>178.8</v>
      </c>
      <c r="N67" s="14">
        <f t="shared" ref="N67:N77" si="11">(M67-M66)/M66</f>
        <v>3.3670033670034948E-3</v>
      </c>
      <c r="O67">
        <v>166.3</v>
      </c>
      <c r="P67" s="14">
        <f t="shared" ref="P67:P77" si="12">(O67-O66)/O66</f>
        <v>4.8338368580061108E-3</v>
      </c>
      <c r="Q67">
        <v>174.7</v>
      </c>
      <c r="R67" s="14">
        <f t="shared" ref="R67:R77" si="13">(Q67-Q66)/Q66</f>
        <v>1.2166859791425228E-2</v>
      </c>
      <c r="S67">
        <v>171.8</v>
      </c>
      <c r="T67" s="14">
        <f t="shared" ref="T67:T77" si="14">(S67-S66)/S66</f>
        <v>4.6783625730994821E-3</v>
      </c>
    </row>
    <row r="68" spans="1:30" x14ac:dyDescent="0.3">
      <c r="A68">
        <v>2022</v>
      </c>
      <c r="B68" t="s">
        <v>46</v>
      </c>
      <c r="C68">
        <f t="shared" si="1"/>
        <v>2081</v>
      </c>
      <c r="D68" s="14">
        <f t="shared" si="6"/>
        <v>1.4436958614051972E-3</v>
      </c>
      <c r="E68">
        <f t="shared" si="2"/>
        <v>708.9</v>
      </c>
      <c r="F68" s="14">
        <f t="shared" si="7"/>
        <v>4.107648725212432E-3</v>
      </c>
      <c r="G68">
        <f t="shared" si="3"/>
        <v>547.9</v>
      </c>
      <c r="H68" s="14">
        <f t="shared" si="8"/>
        <v>7.1691176470587816E-3</v>
      </c>
      <c r="I68">
        <f t="shared" si="4"/>
        <v>172.3</v>
      </c>
      <c r="J68" s="14">
        <f t="shared" si="9"/>
        <v>5.837711617046118E-3</v>
      </c>
      <c r="K68">
        <v>179.1</v>
      </c>
      <c r="L68" s="14">
        <f t="shared" si="10"/>
        <v>-2.7839643652561247E-3</v>
      </c>
      <c r="M68">
        <f t="shared" si="5"/>
        <v>179.4</v>
      </c>
      <c r="N68" s="14">
        <f t="shared" si="11"/>
        <v>3.355704697986545E-3</v>
      </c>
      <c r="O68">
        <v>166.6</v>
      </c>
      <c r="P68" s="14">
        <f t="shared" si="12"/>
        <v>1.8039687312085564E-3</v>
      </c>
      <c r="Q68">
        <v>175.7</v>
      </c>
      <c r="R68" s="14">
        <f t="shared" si="13"/>
        <v>5.7240984544934172E-3</v>
      </c>
      <c r="S68">
        <v>172.6</v>
      </c>
      <c r="T68" s="14">
        <f t="shared" si="14"/>
        <v>4.6565774155994345E-3</v>
      </c>
    </row>
    <row r="69" spans="1:30" x14ac:dyDescent="0.3">
      <c r="A69">
        <v>2022</v>
      </c>
      <c r="B69" t="s">
        <v>48</v>
      </c>
      <c r="C69">
        <f t="shared" si="1"/>
        <v>2092.3999999999996</v>
      </c>
      <c r="D69" s="14">
        <f t="shared" si="6"/>
        <v>5.4781355117730114E-3</v>
      </c>
      <c r="E69">
        <f t="shared" si="2"/>
        <v>710.7</v>
      </c>
      <c r="F69" s="14">
        <f t="shared" si="7"/>
        <v>2.53914515446476E-3</v>
      </c>
      <c r="G69">
        <f t="shared" si="3"/>
        <v>552.5</v>
      </c>
      <c r="H69" s="14">
        <f t="shared" si="8"/>
        <v>8.3956926446432257E-3</v>
      </c>
      <c r="I69">
        <f t="shared" si="4"/>
        <v>173.6</v>
      </c>
      <c r="J69" s="14">
        <f t="shared" si="9"/>
        <v>7.5449796865930518E-3</v>
      </c>
      <c r="K69">
        <v>179.7</v>
      </c>
      <c r="L69" s="14">
        <f t="shared" si="10"/>
        <v>3.3500837520937707E-3</v>
      </c>
      <c r="M69">
        <f t="shared" si="5"/>
        <v>180.2</v>
      </c>
      <c r="N69" s="14">
        <f t="shared" si="11"/>
        <v>4.4593088071347986E-3</v>
      </c>
      <c r="O69">
        <v>166.9</v>
      </c>
      <c r="P69" s="14">
        <f t="shared" si="12"/>
        <v>1.8007202881153144E-3</v>
      </c>
      <c r="Q69">
        <v>176.2</v>
      </c>
      <c r="R69" s="14">
        <f t="shared" si="13"/>
        <v>2.845759817871372E-3</v>
      </c>
      <c r="S69">
        <v>173.1</v>
      </c>
      <c r="T69" s="14">
        <f t="shared" si="14"/>
        <v>2.8968713789107765E-3</v>
      </c>
    </row>
    <row r="70" spans="1:30" x14ac:dyDescent="0.3">
      <c r="A70">
        <v>2022</v>
      </c>
      <c r="B70" t="s">
        <v>50</v>
      </c>
      <c r="C70">
        <f t="shared" si="1"/>
        <v>2108.6999999999998</v>
      </c>
      <c r="D70" s="14">
        <f t="shared" si="6"/>
        <v>7.7900974956988077E-3</v>
      </c>
      <c r="E70">
        <f t="shared" si="2"/>
        <v>713.30000000000007</v>
      </c>
      <c r="F70" s="14">
        <f t="shared" si="7"/>
        <v>3.6583649922611828E-3</v>
      </c>
      <c r="G70">
        <f t="shared" si="3"/>
        <v>556.4</v>
      </c>
      <c r="H70" s="14">
        <f t="shared" si="8"/>
        <v>7.0588235294117233E-3</v>
      </c>
      <c r="I70">
        <f t="shared" si="4"/>
        <v>174.4</v>
      </c>
      <c r="J70" s="14">
        <f t="shared" si="9"/>
        <v>4.608294930875642E-3</v>
      </c>
      <c r="K70">
        <v>180.8</v>
      </c>
      <c r="L70" s="14">
        <f t="shared" si="10"/>
        <v>6.1213132999444787E-3</v>
      </c>
      <c r="M70">
        <f t="shared" si="5"/>
        <v>181.2</v>
      </c>
      <c r="N70" s="14">
        <f t="shared" si="11"/>
        <v>5.5493895671476145E-3</v>
      </c>
      <c r="O70">
        <v>167.4</v>
      </c>
      <c r="P70" s="14">
        <f t="shared" si="12"/>
        <v>2.9958058717795086E-3</v>
      </c>
      <c r="Q70">
        <v>176.5</v>
      </c>
      <c r="R70" s="14">
        <f t="shared" si="13"/>
        <v>1.7026106696935947E-3</v>
      </c>
      <c r="S70">
        <v>173.9</v>
      </c>
      <c r="T70" s="14">
        <f t="shared" si="14"/>
        <v>4.6216060080878762E-3</v>
      </c>
    </row>
    <row r="71" spans="1:30" x14ac:dyDescent="0.3">
      <c r="A71">
        <v>2022</v>
      </c>
      <c r="B71" t="s">
        <v>53</v>
      </c>
      <c r="C71">
        <f t="shared" si="1"/>
        <v>2111.2999999999997</v>
      </c>
      <c r="D71" s="14">
        <f t="shared" si="6"/>
        <v>1.2329871484800632E-3</v>
      </c>
      <c r="E71">
        <f t="shared" si="2"/>
        <v>716.1</v>
      </c>
      <c r="F71" s="14">
        <f t="shared" si="7"/>
        <v>3.9254170755642142E-3</v>
      </c>
      <c r="G71">
        <f t="shared" si="3"/>
        <v>559.29999999999995</v>
      </c>
      <c r="H71" s="14">
        <f t="shared" si="8"/>
        <v>5.2120776419841437E-3</v>
      </c>
      <c r="I71">
        <f t="shared" si="4"/>
        <v>175.5</v>
      </c>
      <c r="J71" s="14">
        <f t="shared" si="9"/>
        <v>6.3073394495412518E-3</v>
      </c>
      <c r="K71">
        <v>181.9</v>
      </c>
      <c r="L71" s="14">
        <f t="shared" si="10"/>
        <v>6.0840707964601448E-3</v>
      </c>
      <c r="M71">
        <f t="shared" si="5"/>
        <v>182.3</v>
      </c>
      <c r="N71" s="14">
        <f t="shared" si="11"/>
        <v>6.070640176600567E-3</v>
      </c>
      <c r="O71">
        <v>167.5</v>
      </c>
      <c r="P71" s="14">
        <f t="shared" si="12"/>
        <v>5.9737156511346663E-4</v>
      </c>
      <c r="Q71">
        <v>176.9</v>
      </c>
      <c r="R71" s="14">
        <f t="shared" si="13"/>
        <v>2.2662889518413921E-3</v>
      </c>
      <c r="S71">
        <v>174.6</v>
      </c>
      <c r="T71" s="14">
        <f t="shared" si="14"/>
        <v>4.0253018976422576E-3</v>
      </c>
    </row>
    <row r="72" spans="1:30" x14ac:dyDescent="0.3">
      <c r="A72">
        <v>2022</v>
      </c>
      <c r="B72" t="s">
        <v>55</v>
      </c>
      <c r="C72">
        <f t="shared" si="1"/>
        <v>2100.3000000000002</v>
      </c>
      <c r="D72" s="14">
        <f t="shared" si="6"/>
        <v>-5.2100601525124548E-3</v>
      </c>
      <c r="E72">
        <f t="shared" si="2"/>
        <v>719.60000000000014</v>
      </c>
      <c r="F72" s="14">
        <f t="shared" si="7"/>
        <v>4.8875855327469818E-3</v>
      </c>
      <c r="G72">
        <f t="shared" si="3"/>
        <v>561.79999999999995</v>
      </c>
      <c r="H72" s="14">
        <f t="shared" si="8"/>
        <v>4.469873055605221E-3</v>
      </c>
      <c r="I72">
        <f t="shared" si="4"/>
        <v>176.4</v>
      </c>
      <c r="J72" s="14">
        <f t="shared" si="9"/>
        <v>5.1282051282051603E-3</v>
      </c>
      <c r="K72">
        <v>182.8</v>
      </c>
      <c r="L72" s="14">
        <f t="shared" si="10"/>
        <v>4.9477735019241654E-3</v>
      </c>
      <c r="M72">
        <f t="shared" si="5"/>
        <v>183.5</v>
      </c>
      <c r="N72" s="14">
        <f t="shared" si="11"/>
        <v>6.5825562260010346E-3</v>
      </c>
      <c r="O72">
        <v>167.8</v>
      </c>
      <c r="P72" s="14">
        <f t="shared" si="12"/>
        <v>1.7910447761194709E-3</v>
      </c>
      <c r="Q72">
        <v>177.3</v>
      </c>
      <c r="R72" s="14">
        <f t="shared" si="13"/>
        <v>2.2611644997173864E-3</v>
      </c>
      <c r="S72">
        <v>175.5</v>
      </c>
      <c r="T72" s="14">
        <f t="shared" si="14"/>
        <v>5.1546391752577648E-3</v>
      </c>
    </row>
    <row r="73" spans="1:30" x14ac:dyDescent="0.3">
      <c r="A73">
        <v>2023</v>
      </c>
      <c r="B73" t="s">
        <v>31</v>
      </c>
      <c r="C73">
        <f t="shared" si="1"/>
        <v>2106.3000000000002</v>
      </c>
      <c r="D73" s="14">
        <f t="shared" si="6"/>
        <v>2.8567347521782599E-3</v>
      </c>
      <c r="E73">
        <f t="shared" si="2"/>
        <v>724</v>
      </c>
      <c r="F73" s="14">
        <f t="shared" si="7"/>
        <v>6.114508060033161E-3</v>
      </c>
      <c r="G73">
        <f t="shared" si="3"/>
        <v>563.9</v>
      </c>
      <c r="H73" s="14">
        <f t="shared" si="8"/>
        <v>3.7379850480598487E-3</v>
      </c>
      <c r="I73">
        <f t="shared" si="4"/>
        <v>177.2</v>
      </c>
      <c r="J73" s="14">
        <f t="shared" si="9"/>
        <v>4.5351473922901524E-3</v>
      </c>
      <c r="K73">
        <v>183.2</v>
      </c>
      <c r="L73" s="14">
        <f t="shared" si="10"/>
        <v>2.1881838074397004E-3</v>
      </c>
      <c r="M73">
        <f t="shared" si="5"/>
        <v>184.7</v>
      </c>
      <c r="N73" s="14">
        <f t="shared" si="11"/>
        <v>6.539509536784679E-3</v>
      </c>
      <c r="O73">
        <v>168.2</v>
      </c>
      <c r="P73" s="14">
        <f t="shared" si="12"/>
        <v>2.3837902264599357E-3</v>
      </c>
      <c r="Q73">
        <v>177.8</v>
      </c>
      <c r="R73" s="14">
        <f t="shared" si="13"/>
        <v>2.8200789622109417E-3</v>
      </c>
      <c r="S73">
        <v>176.5</v>
      </c>
      <c r="T73" s="14">
        <f t="shared" si="14"/>
        <v>5.6980056980056983E-3</v>
      </c>
    </row>
    <row r="74" spans="1:30" x14ac:dyDescent="0.3">
      <c r="A74">
        <v>2023</v>
      </c>
      <c r="B74" t="s">
        <v>36</v>
      </c>
      <c r="C74">
        <f t="shared" si="1"/>
        <v>2088.1</v>
      </c>
      <c r="D74" s="14">
        <f t="shared" si="6"/>
        <v>-8.6407444333666955E-3</v>
      </c>
      <c r="E74">
        <f t="shared" si="2"/>
        <v>729.40000000000009</v>
      </c>
      <c r="F74" s="14">
        <f t="shared" si="7"/>
        <v>7.4585635359117278E-3</v>
      </c>
      <c r="G74">
        <f t="shared" si="3"/>
        <v>566.6</v>
      </c>
      <c r="H74" s="14">
        <f t="shared" si="8"/>
        <v>4.7880829934386334E-3</v>
      </c>
      <c r="I74">
        <f t="shared" si="4"/>
        <v>178.6</v>
      </c>
      <c r="J74" s="14">
        <f t="shared" si="9"/>
        <v>7.9006772009029679E-3</v>
      </c>
      <c r="K74">
        <v>181.6</v>
      </c>
      <c r="L74" s="14">
        <f t="shared" si="10"/>
        <v>-8.7336244541484417E-3</v>
      </c>
      <c r="M74">
        <f t="shared" si="5"/>
        <v>186.6</v>
      </c>
      <c r="N74" s="14">
        <f t="shared" si="11"/>
        <v>1.0286951813752061E-2</v>
      </c>
      <c r="O74">
        <v>169</v>
      </c>
      <c r="P74" s="14">
        <f t="shared" si="12"/>
        <v>4.756242568371055E-3</v>
      </c>
      <c r="Q74">
        <v>178.5</v>
      </c>
      <c r="R74" s="14">
        <f t="shared" si="13"/>
        <v>3.9370078740156838E-3</v>
      </c>
      <c r="S74">
        <v>177.9</v>
      </c>
      <c r="T74" s="14">
        <f t="shared" si="14"/>
        <v>7.932011331444791E-3</v>
      </c>
    </row>
    <row r="75" spans="1:30" x14ac:dyDescent="0.3">
      <c r="A75">
        <v>2023</v>
      </c>
      <c r="B75" t="s">
        <v>38</v>
      </c>
      <c r="C75">
        <f t="shared" si="1"/>
        <v>2088.2000000000003</v>
      </c>
      <c r="D75" s="14">
        <f t="shared" si="6"/>
        <v>4.7890426703876155E-5</v>
      </c>
      <c r="E75">
        <f t="shared" si="2"/>
        <v>729.5</v>
      </c>
      <c r="F75" s="14">
        <f t="shared" si="7"/>
        <v>1.3709898546738282E-4</v>
      </c>
      <c r="G75">
        <f t="shared" si="3"/>
        <v>566.6</v>
      </c>
      <c r="H75" s="14">
        <f t="shared" si="8"/>
        <v>0</v>
      </c>
      <c r="I75">
        <f t="shared" si="4"/>
        <v>178.6</v>
      </c>
      <c r="J75" s="14">
        <f t="shared" si="9"/>
        <v>0</v>
      </c>
      <c r="K75">
        <v>181.4</v>
      </c>
      <c r="L75" s="14">
        <f t="shared" si="10"/>
        <v>-1.1013215859030211E-3</v>
      </c>
      <c r="M75">
        <f t="shared" si="5"/>
        <v>186.6</v>
      </c>
      <c r="N75" s="14">
        <f t="shared" si="11"/>
        <v>0</v>
      </c>
      <c r="O75">
        <v>169</v>
      </c>
      <c r="P75" s="14">
        <f t="shared" si="12"/>
        <v>0</v>
      </c>
      <c r="Q75">
        <v>178.5</v>
      </c>
      <c r="R75" s="14">
        <f t="shared" si="13"/>
        <v>0</v>
      </c>
      <c r="S75">
        <v>177.9</v>
      </c>
      <c r="T75" s="14">
        <f t="shared" si="14"/>
        <v>0</v>
      </c>
    </row>
    <row r="76" spans="1:30" x14ac:dyDescent="0.3">
      <c r="A76">
        <v>2023</v>
      </c>
      <c r="B76" t="s">
        <v>39</v>
      </c>
      <c r="C76">
        <f t="shared" si="1"/>
        <v>2096</v>
      </c>
      <c r="D76" s="14">
        <f t="shared" si="6"/>
        <v>3.7352743990037955E-3</v>
      </c>
      <c r="E76">
        <f t="shared" si="2"/>
        <v>734.7</v>
      </c>
      <c r="F76" s="14">
        <f t="shared" si="7"/>
        <v>7.1281699794380335E-3</v>
      </c>
      <c r="G76">
        <f t="shared" si="3"/>
        <v>568.20000000000005</v>
      </c>
      <c r="H76" s="14">
        <f t="shared" si="8"/>
        <v>2.8238616307801317E-3</v>
      </c>
      <c r="I76">
        <f t="shared" si="4"/>
        <v>179.1</v>
      </c>
      <c r="J76" s="14">
        <f t="shared" si="9"/>
        <v>2.7995520716685329E-3</v>
      </c>
      <c r="K76">
        <v>181.5</v>
      </c>
      <c r="L76" s="14">
        <f t="shared" si="10"/>
        <v>5.5126791620724541E-4</v>
      </c>
      <c r="M76">
        <f t="shared" si="5"/>
        <v>187.2</v>
      </c>
      <c r="N76" s="14">
        <f t="shared" si="11"/>
        <v>3.2154340836012558E-3</v>
      </c>
      <c r="O76">
        <v>169.4</v>
      </c>
      <c r="P76" s="14">
        <f t="shared" si="12"/>
        <v>2.3668639053254772E-3</v>
      </c>
      <c r="Q76">
        <v>179.4</v>
      </c>
      <c r="R76" s="14">
        <f t="shared" si="13"/>
        <v>5.0420168067227206E-3</v>
      </c>
      <c r="S76">
        <v>178.9</v>
      </c>
      <c r="T76" s="14">
        <f t="shared" si="14"/>
        <v>5.6211354693648111E-3</v>
      </c>
    </row>
    <row r="77" spans="1:30" x14ac:dyDescent="0.3">
      <c r="A77">
        <v>2023</v>
      </c>
      <c r="B77" t="s">
        <v>41</v>
      </c>
      <c r="C77">
        <f t="shared" si="1"/>
        <v>1941</v>
      </c>
      <c r="D77" s="14">
        <f t="shared" si="6"/>
        <v>-7.3950381679389318E-2</v>
      </c>
      <c r="E77">
        <f t="shared" si="2"/>
        <v>737.30000000000007</v>
      </c>
      <c r="F77" s="14">
        <f t="shared" si="7"/>
        <v>3.538859398393933E-3</v>
      </c>
      <c r="G77">
        <f t="shared" si="3"/>
        <v>569.90000000000009</v>
      </c>
      <c r="H77" s="14">
        <f t="shared" si="8"/>
        <v>2.9919042590637896E-3</v>
      </c>
      <c r="I77">
        <f t="shared" si="4"/>
        <v>179.8</v>
      </c>
      <c r="J77" s="14">
        <f t="shared" si="9"/>
        <v>3.9084310441095315E-3</v>
      </c>
      <c r="K77">
        <v>182.5</v>
      </c>
      <c r="L77" s="14">
        <f t="shared" si="10"/>
        <v>5.5096418732782371E-3</v>
      </c>
      <c r="M77">
        <f t="shared" si="5"/>
        <v>187.8</v>
      </c>
      <c r="N77" s="14">
        <f t="shared" si="11"/>
        <v>3.2051282051283269E-3</v>
      </c>
      <c r="O77">
        <v>169.7</v>
      </c>
      <c r="P77" s="14">
        <f t="shared" si="12"/>
        <v>1.7709563164107611E-3</v>
      </c>
      <c r="Q77">
        <v>180.3</v>
      </c>
      <c r="R77" s="14">
        <f t="shared" si="13"/>
        <v>5.0167224080267872E-3</v>
      </c>
      <c r="S77">
        <v>179.5</v>
      </c>
      <c r="T77" s="14">
        <f t="shared" si="14"/>
        <v>3.3538289547232771E-3</v>
      </c>
    </row>
    <row r="78" spans="1:30" ht="21" x14ac:dyDescent="0.4">
      <c r="A78" s="15"/>
      <c r="D78" s="81" t="s">
        <v>35</v>
      </c>
      <c r="E78" s="81"/>
    </row>
    <row r="79" spans="1:30" x14ac:dyDescent="0.3">
      <c r="A79" t="s">
        <v>171</v>
      </c>
      <c r="B79" t="s">
        <v>172</v>
      </c>
      <c r="C79" t="s">
        <v>173</v>
      </c>
      <c r="D79" t="s">
        <v>165</v>
      </c>
      <c r="E79" t="s">
        <v>165</v>
      </c>
      <c r="F79" t="s">
        <v>165</v>
      </c>
      <c r="G79" t="s">
        <v>165</v>
      </c>
      <c r="H79" t="s">
        <v>165</v>
      </c>
      <c r="I79" t="s">
        <v>165</v>
      </c>
      <c r="J79" t="s">
        <v>165</v>
      </c>
      <c r="K79" t="s">
        <v>165</v>
      </c>
      <c r="L79" t="s">
        <v>165</v>
      </c>
      <c r="M79" t="s">
        <v>165</v>
      </c>
      <c r="N79" t="s">
        <v>166</v>
      </c>
      <c r="O79" t="s">
        <v>165</v>
      </c>
      <c r="P79" t="s">
        <v>165</v>
      </c>
      <c r="Q79" t="s">
        <v>166</v>
      </c>
      <c r="R79" t="s">
        <v>17</v>
      </c>
      <c r="S79" t="s">
        <v>17</v>
      </c>
      <c r="T79" t="s">
        <v>17</v>
      </c>
      <c r="U79" t="s">
        <v>167</v>
      </c>
      <c r="V79" t="s">
        <v>21</v>
      </c>
      <c r="W79" t="s">
        <v>167</v>
      </c>
      <c r="X79" t="s">
        <v>23</v>
      </c>
      <c r="Y79" t="s">
        <v>24</v>
      </c>
      <c r="Z79" t="s">
        <v>166</v>
      </c>
      <c r="AA79" t="s">
        <v>26</v>
      </c>
      <c r="AB79" t="s">
        <v>169</v>
      </c>
      <c r="AC79" t="s">
        <v>170</v>
      </c>
      <c r="AD79" t="s">
        <v>168</v>
      </c>
    </row>
    <row r="80" spans="1:30" x14ac:dyDescent="0.3">
      <c r="A80" s="15" t="s">
        <v>0</v>
      </c>
      <c r="B80" t="s">
        <v>1</v>
      </c>
      <c r="C80" t="s">
        <v>2</v>
      </c>
      <c r="D80" t="s">
        <v>3</v>
      </c>
      <c r="E80" t="s">
        <v>4</v>
      </c>
      <c r="F80" t="s">
        <v>5</v>
      </c>
      <c r="G80" t="s">
        <v>6</v>
      </c>
      <c r="H80" t="s">
        <v>7</v>
      </c>
      <c r="I80" t="s">
        <v>8</v>
      </c>
      <c r="J80" t="s">
        <v>9</v>
      </c>
      <c r="K80" t="s">
        <v>10</v>
      </c>
      <c r="L80" t="s">
        <v>11</v>
      </c>
      <c r="M80" t="s">
        <v>12</v>
      </c>
      <c r="N80" t="s">
        <v>13</v>
      </c>
      <c r="O80" t="s">
        <v>14</v>
      </c>
      <c r="P80" t="s">
        <v>15</v>
      </c>
      <c r="Q80" t="s">
        <v>16</v>
      </c>
      <c r="R80" t="s">
        <v>17</v>
      </c>
      <c r="S80" t="s">
        <v>18</v>
      </c>
      <c r="T80" t="s">
        <v>19</v>
      </c>
      <c r="U80" t="s">
        <v>20</v>
      </c>
      <c r="V80" t="s">
        <v>21</v>
      </c>
      <c r="W80" t="s">
        <v>22</v>
      </c>
      <c r="X80" t="s">
        <v>23</v>
      </c>
      <c r="Y80" t="s">
        <v>24</v>
      </c>
      <c r="Z80" t="s">
        <v>25</v>
      </c>
      <c r="AA80" t="s">
        <v>26</v>
      </c>
      <c r="AB80" t="s">
        <v>27</v>
      </c>
      <c r="AC80" t="s">
        <v>28</v>
      </c>
    </row>
    <row r="81" spans="1:29" x14ac:dyDescent="0.3">
      <c r="A81" s="15" t="s">
        <v>35</v>
      </c>
      <c r="B81">
        <v>2022</v>
      </c>
      <c r="C81" t="s">
        <v>41</v>
      </c>
      <c r="D81">
        <v>154.1</v>
      </c>
      <c r="E81">
        <v>217</v>
      </c>
      <c r="F81">
        <v>162.4</v>
      </c>
      <c r="G81">
        <v>164.9</v>
      </c>
      <c r="H81">
        <v>202.4</v>
      </c>
      <c r="I81">
        <v>171</v>
      </c>
      <c r="J81">
        <v>174.9</v>
      </c>
      <c r="K81">
        <v>164.7</v>
      </c>
      <c r="L81">
        <v>119.7</v>
      </c>
      <c r="M81">
        <v>184.9</v>
      </c>
      <c r="N81">
        <v>167.1</v>
      </c>
      <c r="O81">
        <v>182.5</v>
      </c>
      <c r="P81">
        <v>173.3</v>
      </c>
      <c r="Q81">
        <v>194.1</v>
      </c>
      <c r="R81">
        <v>175.6</v>
      </c>
      <c r="S81">
        <v>168.4</v>
      </c>
      <c r="T81">
        <v>174.6</v>
      </c>
      <c r="U81" t="s">
        <v>153</v>
      </c>
      <c r="V81">
        <v>174.6</v>
      </c>
      <c r="W81">
        <v>165.2</v>
      </c>
      <c r="X81">
        <v>174.8</v>
      </c>
      <c r="Y81">
        <v>163</v>
      </c>
      <c r="Z81">
        <v>165.1</v>
      </c>
      <c r="AA81">
        <v>167.9</v>
      </c>
      <c r="AB81">
        <v>168.4</v>
      </c>
      <c r="AC81">
        <v>167.5</v>
      </c>
    </row>
    <row r="82" spans="1:29" x14ac:dyDescent="0.3">
      <c r="A82" s="15" t="s">
        <v>35</v>
      </c>
      <c r="B82">
        <v>2022</v>
      </c>
      <c r="C82" t="s">
        <v>42</v>
      </c>
      <c r="D82">
        <v>155</v>
      </c>
      <c r="E82">
        <v>219.4</v>
      </c>
      <c r="F82">
        <v>170.8</v>
      </c>
      <c r="G82">
        <v>165.8</v>
      </c>
      <c r="H82">
        <v>200.9</v>
      </c>
      <c r="I82">
        <v>169.7</v>
      </c>
      <c r="J82">
        <v>182.3</v>
      </c>
      <c r="K82">
        <v>164.3</v>
      </c>
      <c r="L82">
        <v>119.9</v>
      </c>
      <c r="M82">
        <v>187.1</v>
      </c>
      <c r="N82">
        <v>167.9</v>
      </c>
      <c r="O82">
        <v>183.9</v>
      </c>
      <c r="P82">
        <v>174.9</v>
      </c>
      <c r="Q82">
        <v>194.3</v>
      </c>
      <c r="R82">
        <v>177.1</v>
      </c>
      <c r="S82">
        <v>169.9</v>
      </c>
      <c r="T82">
        <v>176</v>
      </c>
      <c r="U82" t="s">
        <v>154</v>
      </c>
      <c r="V82">
        <v>176</v>
      </c>
      <c r="W82">
        <v>166.4</v>
      </c>
      <c r="X82">
        <v>175.4</v>
      </c>
      <c r="Y82">
        <v>161.1</v>
      </c>
      <c r="Z82">
        <v>165.8</v>
      </c>
      <c r="AA82">
        <v>169</v>
      </c>
      <c r="AB82">
        <v>169.4</v>
      </c>
      <c r="AC82">
        <v>167.5</v>
      </c>
    </row>
    <row r="83" spans="1:29" x14ac:dyDescent="0.3">
      <c r="A83" s="15" t="s">
        <v>35</v>
      </c>
      <c r="B83">
        <v>2022</v>
      </c>
      <c r="C83" t="s">
        <v>44</v>
      </c>
      <c r="D83">
        <v>156.5</v>
      </c>
      <c r="E83">
        <v>213</v>
      </c>
      <c r="F83">
        <v>175.2</v>
      </c>
      <c r="G83">
        <v>166.6</v>
      </c>
      <c r="H83">
        <v>195.8</v>
      </c>
      <c r="I83">
        <v>174.2</v>
      </c>
      <c r="J83">
        <v>182.1</v>
      </c>
      <c r="K83">
        <v>164.3</v>
      </c>
      <c r="L83">
        <v>120</v>
      </c>
      <c r="M83">
        <v>190</v>
      </c>
      <c r="N83">
        <v>168.4</v>
      </c>
      <c r="O83">
        <v>185.2</v>
      </c>
      <c r="P83">
        <v>175</v>
      </c>
      <c r="Q83">
        <v>194.6</v>
      </c>
      <c r="R83">
        <v>178.3</v>
      </c>
      <c r="S83">
        <v>171.3</v>
      </c>
      <c r="T83">
        <v>177.3</v>
      </c>
      <c r="U83" t="s">
        <v>155</v>
      </c>
      <c r="V83">
        <v>179.6</v>
      </c>
      <c r="W83">
        <v>167.4</v>
      </c>
      <c r="X83">
        <v>176.1</v>
      </c>
      <c r="Y83">
        <v>161.6</v>
      </c>
      <c r="Z83">
        <v>166.3</v>
      </c>
      <c r="AA83">
        <v>171.4</v>
      </c>
      <c r="AB83">
        <v>169.7</v>
      </c>
      <c r="AC83">
        <v>168.4</v>
      </c>
    </row>
    <row r="84" spans="1:29" x14ac:dyDescent="0.3">
      <c r="A84" s="15" t="s">
        <v>35</v>
      </c>
      <c r="B84">
        <v>2022</v>
      </c>
      <c r="C84" t="s">
        <v>46</v>
      </c>
      <c r="D84">
        <v>160.30000000000001</v>
      </c>
      <c r="E84">
        <v>206.5</v>
      </c>
      <c r="F84">
        <v>169.2</v>
      </c>
      <c r="G84">
        <v>168.1</v>
      </c>
      <c r="H84">
        <v>192.4</v>
      </c>
      <c r="I84">
        <v>172.9</v>
      </c>
      <c r="J84">
        <v>186.7</v>
      </c>
      <c r="K84">
        <v>167.2</v>
      </c>
      <c r="L84">
        <v>120.9</v>
      </c>
      <c r="M84">
        <v>193.6</v>
      </c>
      <c r="N84">
        <v>168.8</v>
      </c>
      <c r="O84">
        <v>186.3</v>
      </c>
      <c r="P84">
        <v>176.3</v>
      </c>
      <c r="Q84">
        <v>195</v>
      </c>
      <c r="R84">
        <v>179.5</v>
      </c>
      <c r="S84">
        <v>172.7</v>
      </c>
      <c r="T84">
        <v>178.5</v>
      </c>
      <c r="U84" t="s">
        <v>156</v>
      </c>
      <c r="V84">
        <v>178.8</v>
      </c>
      <c r="W84">
        <v>168.5</v>
      </c>
      <c r="X84">
        <v>176.8</v>
      </c>
      <c r="Y84">
        <v>161.9</v>
      </c>
      <c r="Z84">
        <v>166.9</v>
      </c>
      <c r="AA84">
        <v>172.3</v>
      </c>
      <c r="AB84">
        <v>171.2</v>
      </c>
      <c r="AC84">
        <v>169.1</v>
      </c>
    </row>
    <row r="85" spans="1:29" x14ac:dyDescent="0.3">
      <c r="A85" s="15" t="s">
        <v>35</v>
      </c>
      <c r="B85">
        <v>2022</v>
      </c>
      <c r="C85" t="s">
        <v>48</v>
      </c>
      <c r="D85">
        <v>163.5</v>
      </c>
      <c r="E85">
        <v>209.2</v>
      </c>
      <c r="F85">
        <v>169.7</v>
      </c>
      <c r="G85">
        <v>169.7</v>
      </c>
      <c r="H85">
        <v>188.7</v>
      </c>
      <c r="I85">
        <v>165.7</v>
      </c>
      <c r="J85">
        <v>191.8</v>
      </c>
      <c r="K85">
        <v>169.1</v>
      </c>
      <c r="L85">
        <v>121.6</v>
      </c>
      <c r="M85">
        <v>197.3</v>
      </c>
      <c r="N85">
        <v>169.4</v>
      </c>
      <c r="O85">
        <v>187.4</v>
      </c>
      <c r="P85">
        <v>177.8</v>
      </c>
      <c r="Q85">
        <v>195.9</v>
      </c>
      <c r="R85">
        <v>180.9</v>
      </c>
      <c r="S85">
        <v>174.3</v>
      </c>
      <c r="T85">
        <v>179.9</v>
      </c>
      <c r="U85" t="s">
        <v>157</v>
      </c>
      <c r="V85">
        <v>179.5</v>
      </c>
      <c r="W85">
        <v>169.5</v>
      </c>
      <c r="X85">
        <v>177.8</v>
      </c>
      <c r="Y85">
        <v>162.30000000000001</v>
      </c>
      <c r="Z85">
        <v>167.6</v>
      </c>
      <c r="AA85">
        <v>173.1</v>
      </c>
      <c r="AB85">
        <v>170.9</v>
      </c>
      <c r="AC85">
        <v>169.7</v>
      </c>
    </row>
    <row r="86" spans="1:29" x14ac:dyDescent="0.3">
      <c r="A86" s="15" t="s">
        <v>35</v>
      </c>
      <c r="B86">
        <v>2022</v>
      </c>
      <c r="C86" t="s">
        <v>50</v>
      </c>
      <c r="D86">
        <v>165.2</v>
      </c>
      <c r="E86">
        <v>210.9</v>
      </c>
      <c r="F86">
        <v>170.9</v>
      </c>
      <c r="G86">
        <v>170.9</v>
      </c>
      <c r="H86">
        <v>186.5</v>
      </c>
      <c r="I86">
        <v>163.80000000000001</v>
      </c>
      <c r="J86">
        <v>199.7</v>
      </c>
      <c r="K86">
        <v>169.8</v>
      </c>
      <c r="L86">
        <v>121.9</v>
      </c>
      <c r="M86">
        <v>199.9</v>
      </c>
      <c r="N86">
        <v>169.9</v>
      </c>
      <c r="O86">
        <v>188.3</v>
      </c>
      <c r="P86">
        <v>179.6</v>
      </c>
      <c r="Q86">
        <v>196.3</v>
      </c>
      <c r="R86">
        <v>181.9</v>
      </c>
      <c r="S86">
        <v>175.3</v>
      </c>
      <c r="T86">
        <v>181</v>
      </c>
      <c r="U86" t="s">
        <v>158</v>
      </c>
      <c r="V86">
        <v>180.5</v>
      </c>
      <c r="W86">
        <v>170.4</v>
      </c>
      <c r="X86">
        <v>178.7</v>
      </c>
      <c r="Y86">
        <v>162.9</v>
      </c>
      <c r="Z86">
        <v>168.2</v>
      </c>
      <c r="AA86">
        <v>173.4</v>
      </c>
      <c r="AB86">
        <v>172.1</v>
      </c>
      <c r="AC86">
        <v>170.5</v>
      </c>
    </row>
    <row r="87" spans="1:29" x14ac:dyDescent="0.3">
      <c r="A87" s="15" t="s">
        <v>35</v>
      </c>
      <c r="B87">
        <v>2022</v>
      </c>
      <c r="C87" t="s">
        <v>53</v>
      </c>
      <c r="D87">
        <v>167.4</v>
      </c>
      <c r="E87">
        <v>209.4</v>
      </c>
      <c r="F87">
        <v>181.4</v>
      </c>
      <c r="G87">
        <v>172.3</v>
      </c>
      <c r="H87">
        <v>188.9</v>
      </c>
      <c r="I87">
        <v>160.69999999999999</v>
      </c>
      <c r="J87">
        <v>183.1</v>
      </c>
      <c r="K87">
        <v>170.5</v>
      </c>
      <c r="L87">
        <v>122.1</v>
      </c>
      <c r="M87">
        <v>202.8</v>
      </c>
      <c r="N87">
        <v>170.4</v>
      </c>
      <c r="O87">
        <v>189.5</v>
      </c>
      <c r="P87">
        <v>178.3</v>
      </c>
      <c r="Q87">
        <v>196.9</v>
      </c>
      <c r="R87">
        <v>183.1</v>
      </c>
      <c r="S87">
        <v>176.2</v>
      </c>
      <c r="T87">
        <v>182.1</v>
      </c>
      <c r="U87" t="s">
        <v>159</v>
      </c>
      <c r="V87">
        <v>181.3</v>
      </c>
      <c r="W87">
        <v>171.4</v>
      </c>
      <c r="X87">
        <v>179.8</v>
      </c>
      <c r="Y87">
        <v>163</v>
      </c>
      <c r="Z87">
        <v>168.5</v>
      </c>
      <c r="AA87">
        <v>173.7</v>
      </c>
      <c r="AB87">
        <v>173.6</v>
      </c>
      <c r="AC87">
        <v>171.1</v>
      </c>
    </row>
    <row r="88" spans="1:29" x14ac:dyDescent="0.3">
      <c r="A88" s="15" t="s">
        <v>35</v>
      </c>
      <c r="B88">
        <v>2022</v>
      </c>
      <c r="C88" t="s">
        <v>55</v>
      </c>
      <c r="D88">
        <v>169.2</v>
      </c>
      <c r="E88">
        <v>209</v>
      </c>
      <c r="F88">
        <v>190.2</v>
      </c>
      <c r="G88">
        <v>173.6</v>
      </c>
      <c r="H88">
        <v>188.5</v>
      </c>
      <c r="I88">
        <v>158</v>
      </c>
      <c r="J88">
        <v>159.9</v>
      </c>
      <c r="K88">
        <v>170.8</v>
      </c>
      <c r="L88">
        <v>121.8</v>
      </c>
      <c r="M88">
        <v>205.2</v>
      </c>
      <c r="N88">
        <v>171</v>
      </c>
      <c r="O88">
        <v>190.3</v>
      </c>
      <c r="P88">
        <v>175.9</v>
      </c>
      <c r="Q88">
        <v>197.3</v>
      </c>
      <c r="R88">
        <v>184</v>
      </c>
      <c r="S88">
        <v>177</v>
      </c>
      <c r="T88">
        <v>183</v>
      </c>
      <c r="U88" t="s">
        <v>160</v>
      </c>
      <c r="V88">
        <v>182</v>
      </c>
      <c r="W88">
        <v>172.1</v>
      </c>
      <c r="X88">
        <v>181.1</v>
      </c>
      <c r="Y88">
        <v>163.4</v>
      </c>
      <c r="Z88">
        <v>168.9</v>
      </c>
      <c r="AA88">
        <v>174.1</v>
      </c>
      <c r="AB88">
        <v>175.8</v>
      </c>
      <c r="AC88">
        <v>172</v>
      </c>
    </row>
    <row r="89" spans="1:29" x14ac:dyDescent="0.3">
      <c r="A89" s="15" t="s">
        <v>35</v>
      </c>
      <c r="B89">
        <v>2023</v>
      </c>
      <c r="C89" t="s">
        <v>31</v>
      </c>
      <c r="D89">
        <v>173.8</v>
      </c>
      <c r="E89">
        <v>210.7</v>
      </c>
      <c r="F89">
        <v>194.5</v>
      </c>
      <c r="G89">
        <v>174.6</v>
      </c>
      <c r="H89">
        <v>187.2</v>
      </c>
      <c r="I89">
        <v>158.30000000000001</v>
      </c>
      <c r="J89">
        <v>153.9</v>
      </c>
      <c r="K89">
        <v>170.9</v>
      </c>
      <c r="L89">
        <v>121.1</v>
      </c>
      <c r="M89">
        <v>208.4</v>
      </c>
      <c r="N89">
        <v>171.4</v>
      </c>
      <c r="O89">
        <v>191.2</v>
      </c>
      <c r="P89">
        <v>176.7</v>
      </c>
      <c r="Q89">
        <v>198.2</v>
      </c>
      <c r="R89">
        <v>184.9</v>
      </c>
      <c r="S89">
        <v>177.6</v>
      </c>
      <c r="T89">
        <v>183.8</v>
      </c>
      <c r="U89" t="s">
        <v>161</v>
      </c>
      <c r="V89">
        <v>182</v>
      </c>
      <c r="W89">
        <v>172.9</v>
      </c>
      <c r="X89">
        <v>182.3</v>
      </c>
      <c r="Y89">
        <v>163.6</v>
      </c>
      <c r="Z89">
        <v>169.5</v>
      </c>
      <c r="AA89">
        <v>174.3</v>
      </c>
      <c r="AB89">
        <v>178.6</v>
      </c>
      <c r="AC89">
        <v>172.8</v>
      </c>
    </row>
    <row r="90" spans="1:29" x14ac:dyDescent="0.3">
      <c r="A90" s="15" t="s">
        <v>35</v>
      </c>
      <c r="B90">
        <v>2023</v>
      </c>
      <c r="C90" t="s">
        <v>36</v>
      </c>
      <c r="D90">
        <v>174.4</v>
      </c>
      <c r="E90">
        <v>207.7</v>
      </c>
      <c r="F90">
        <v>175.2</v>
      </c>
      <c r="G90">
        <v>177.3</v>
      </c>
      <c r="H90">
        <v>179.3</v>
      </c>
      <c r="I90">
        <v>169.5</v>
      </c>
      <c r="J90">
        <v>152.69999999999999</v>
      </c>
      <c r="K90">
        <v>171</v>
      </c>
      <c r="L90">
        <v>120</v>
      </c>
      <c r="M90">
        <v>209.7</v>
      </c>
      <c r="N90">
        <v>172.3</v>
      </c>
      <c r="O90">
        <v>193</v>
      </c>
      <c r="P90">
        <v>177</v>
      </c>
      <c r="Q90">
        <v>199.5</v>
      </c>
      <c r="R90">
        <v>186.2</v>
      </c>
      <c r="S90">
        <v>178.7</v>
      </c>
      <c r="T90">
        <v>185.1</v>
      </c>
      <c r="U90" t="s">
        <v>162</v>
      </c>
      <c r="V90">
        <v>182.1</v>
      </c>
      <c r="W90">
        <v>174.2</v>
      </c>
      <c r="X90">
        <v>184.4</v>
      </c>
      <c r="Y90">
        <v>164.2</v>
      </c>
      <c r="Z90">
        <v>170.3</v>
      </c>
      <c r="AA90">
        <v>175</v>
      </c>
      <c r="AB90">
        <v>181</v>
      </c>
      <c r="AC90">
        <v>174.1</v>
      </c>
    </row>
    <row r="91" spans="1:29" x14ac:dyDescent="0.3">
      <c r="A91" t="s">
        <v>35</v>
      </c>
      <c r="B91">
        <v>2023</v>
      </c>
      <c r="C91" t="s">
        <v>38</v>
      </c>
      <c r="D91">
        <v>174.4</v>
      </c>
      <c r="E91">
        <v>207.7</v>
      </c>
      <c r="F91">
        <v>175.2</v>
      </c>
      <c r="G91">
        <v>177.3</v>
      </c>
      <c r="H91">
        <v>179.2</v>
      </c>
      <c r="I91">
        <v>169.5</v>
      </c>
      <c r="J91">
        <v>152.80000000000001</v>
      </c>
      <c r="K91">
        <v>171.1</v>
      </c>
      <c r="L91">
        <v>120</v>
      </c>
      <c r="M91">
        <v>209.7</v>
      </c>
      <c r="N91">
        <v>172.3</v>
      </c>
      <c r="O91">
        <v>193</v>
      </c>
      <c r="P91">
        <v>177</v>
      </c>
      <c r="Q91">
        <v>199.5</v>
      </c>
      <c r="R91">
        <v>186.1</v>
      </c>
      <c r="S91">
        <v>178.7</v>
      </c>
      <c r="T91">
        <v>185.1</v>
      </c>
      <c r="U91" t="s">
        <v>162</v>
      </c>
      <c r="V91">
        <v>181.9</v>
      </c>
      <c r="W91">
        <v>174.2</v>
      </c>
      <c r="X91">
        <v>184.4</v>
      </c>
      <c r="Y91">
        <v>164.2</v>
      </c>
      <c r="Z91">
        <v>170.3</v>
      </c>
      <c r="AA91">
        <v>175</v>
      </c>
      <c r="AB91">
        <v>181</v>
      </c>
      <c r="AC91">
        <v>174.1</v>
      </c>
    </row>
    <row r="92" spans="1:29" x14ac:dyDescent="0.3">
      <c r="A92" t="s">
        <v>35</v>
      </c>
      <c r="B92">
        <v>2023</v>
      </c>
      <c r="C92" t="s">
        <v>39</v>
      </c>
      <c r="D92">
        <v>173.8</v>
      </c>
      <c r="E92">
        <v>209.3</v>
      </c>
      <c r="F92">
        <v>169.6</v>
      </c>
      <c r="G92">
        <v>178.4</v>
      </c>
      <c r="H92">
        <v>174.9</v>
      </c>
      <c r="I92">
        <v>176.3</v>
      </c>
      <c r="J92">
        <v>155.4</v>
      </c>
      <c r="K92">
        <v>173.4</v>
      </c>
      <c r="L92">
        <v>121.3</v>
      </c>
      <c r="M92">
        <v>212.9</v>
      </c>
      <c r="N92">
        <v>172.9</v>
      </c>
      <c r="O92">
        <v>193.5</v>
      </c>
      <c r="P92">
        <v>177.9</v>
      </c>
      <c r="Q92">
        <v>200.6</v>
      </c>
      <c r="R92">
        <v>186.9</v>
      </c>
      <c r="S92">
        <v>179.2</v>
      </c>
      <c r="T92">
        <v>185.7</v>
      </c>
      <c r="U92" t="s">
        <v>163</v>
      </c>
      <c r="V92">
        <v>181.7</v>
      </c>
      <c r="W92">
        <v>174.6</v>
      </c>
      <c r="X92">
        <v>185</v>
      </c>
      <c r="Y92">
        <v>164.5</v>
      </c>
      <c r="Z92">
        <v>170.7</v>
      </c>
      <c r="AA92">
        <v>176.4</v>
      </c>
      <c r="AB92">
        <v>184</v>
      </c>
      <c r="AC92">
        <v>175</v>
      </c>
    </row>
    <row r="93" spans="1:29" x14ac:dyDescent="0.3">
      <c r="A93" t="s">
        <v>35</v>
      </c>
      <c r="B93">
        <v>2023</v>
      </c>
      <c r="C93" t="s">
        <v>41</v>
      </c>
      <c r="D93">
        <v>173.7</v>
      </c>
      <c r="E93">
        <v>214.3</v>
      </c>
      <c r="F93">
        <v>173.2</v>
      </c>
      <c r="G93">
        <v>179.5</v>
      </c>
      <c r="H93">
        <v>170</v>
      </c>
      <c r="I93">
        <v>172.2</v>
      </c>
      <c r="J93">
        <v>161</v>
      </c>
      <c r="K93">
        <v>175.6</v>
      </c>
      <c r="L93">
        <v>122.7</v>
      </c>
      <c r="M93">
        <v>218</v>
      </c>
      <c r="N93">
        <v>173.4</v>
      </c>
      <c r="O93">
        <v>194.2</v>
      </c>
      <c r="P93">
        <v>179.1</v>
      </c>
      <c r="Q93">
        <v>201</v>
      </c>
      <c r="R93">
        <v>187.3</v>
      </c>
      <c r="S93">
        <v>179.7</v>
      </c>
      <c r="T93">
        <v>186.2</v>
      </c>
      <c r="U93" t="s">
        <v>164</v>
      </c>
      <c r="V93">
        <v>182.8</v>
      </c>
      <c r="W93">
        <v>175.2</v>
      </c>
      <c r="X93">
        <v>185.7</v>
      </c>
      <c r="Y93">
        <v>164.8</v>
      </c>
      <c r="Z93">
        <v>171.2</v>
      </c>
      <c r="AA93">
        <v>177.1</v>
      </c>
      <c r="AB93">
        <v>185.2</v>
      </c>
      <c r="AC93">
        <v>175.7</v>
      </c>
    </row>
    <row r="95" spans="1:29" x14ac:dyDescent="0.3">
      <c r="C95" t="s">
        <v>188</v>
      </c>
      <c r="E95" t="s">
        <v>189</v>
      </c>
      <c r="G95" t="s">
        <v>190</v>
      </c>
      <c r="I95" t="s">
        <v>191</v>
      </c>
      <c r="K95" t="s">
        <v>185</v>
      </c>
      <c r="M95" t="s">
        <v>186</v>
      </c>
      <c r="O95" t="s">
        <v>24</v>
      </c>
      <c r="Q95" t="s">
        <v>187</v>
      </c>
      <c r="S95" t="s">
        <v>170</v>
      </c>
    </row>
    <row r="96" spans="1:29" x14ac:dyDescent="0.3">
      <c r="A96">
        <v>2022</v>
      </c>
      <c r="B96" t="s">
        <v>41</v>
      </c>
      <c r="C96">
        <f>SUM(D81:M81,O81:P81)</f>
        <v>2071.8000000000002</v>
      </c>
      <c r="E96">
        <f>SUM(N81,Q81,Z81,AB81)</f>
        <v>694.69999999999993</v>
      </c>
      <c r="G96">
        <f>SUM(R81:T81)</f>
        <v>518.6</v>
      </c>
      <c r="I96">
        <f>SUM(U81,W81)</f>
        <v>165.2</v>
      </c>
      <c r="K96">
        <f>SUM(V81)</f>
        <v>174.6</v>
      </c>
      <c r="M96">
        <f>X81</f>
        <v>174.8</v>
      </c>
      <c r="O96">
        <f>Y81</f>
        <v>163</v>
      </c>
      <c r="Q96">
        <f>SUM(AA81)</f>
        <v>167.9</v>
      </c>
      <c r="S96">
        <v>167.5</v>
      </c>
    </row>
    <row r="97" spans="1:29" x14ac:dyDescent="0.3">
      <c r="A97">
        <v>2022</v>
      </c>
      <c r="B97" t="s">
        <v>42</v>
      </c>
      <c r="C97">
        <f t="shared" ref="C97:C108" si="15">SUM(D82:M82,O82:P82)</f>
        <v>2094</v>
      </c>
      <c r="D97" s="14">
        <f>(C97-C96)/C96</f>
        <v>1.0715320011584041E-2</v>
      </c>
      <c r="E97">
        <f t="shared" ref="E97:E108" si="16">SUM(N82,Q82,Z82,AB82)</f>
        <v>697.4</v>
      </c>
      <c r="F97" s="14">
        <f>(E97-E96)/E96</f>
        <v>3.8865697423348866E-3</v>
      </c>
      <c r="G97">
        <f t="shared" ref="G97:G108" si="17">SUM(R82:T82)</f>
        <v>523</v>
      </c>
      <c r="H97" s="14">
        <f>(G97-G96)/G96</f>
        <v>8.4843810258387522E-3</v>
      </c>
      <c r="I97">
        <f t="shared" ref="I97:I108" si="18">SUM(U82,W82)</f>
        <v>166.4</v>
      </c>
      <c r="J97" s="14">
        <f>(I97-I96)/I96</f>
        <v>7.2639225181599099E-3</v>
      </c>
      <c r="K97">
        <f t="shared" ref="K97:K108" si="19">SUM(V82)</f>
        <v>176</v>
      </c>
      <c r="L97" s="14">
        <f>(K97-K96)/K96</f>
        <v>8.0183276059565042E-3</v>
      </c>
      <c r="M97">
        <f t="shared" ref="M97:M108" si="20">X82</f>
        <v>175.4</v>
      </c>
      <c r="N97" s="14">
        <f>(M97-M96)/M96</f>
        <v>3.4324942791761686E-3</v>
      </c>
      <c r="O97">
        <f t="shared" ref="O97:O108" si="21">Y82</f>
        <v>161.1</v>
      </c>
      <c r="P97" s="14">
        <f>(O97-O96)/O96</f>
        <v>-1.1656441717791446E-2</v>
      </c>
      <c r="Q97">
        <f t="shared" ref="Q97:Q108" si="22">SUM(AA82)</f>
        <v>169</v>
      </c>
      <c r="R97" s="14">
        <f>(Q97-Q96)/Q96</f>
        <v>6.5515187611673272E-3</v>
      </c>
      <c r="S97">
        <v>167.5</v>
      </c>
      <c r="T97" s="14">
        <f>(S97-S96)/S96</f>
        <v>0</v>
      </c>
    </row>
    <row r="98" spans="1:29" x14ac:dyDescent="0.3">
      <c r="A98">
        <v>2022</v>
      </c>
      <c r="B98" t="s">
        <v>44</v>
      </c>
      <c r="C98">
        <f t="shared" si="15"/>
        <v>2097.9</v>
      </c>
      <c r="D98" s="14">
        <f t="shared" ref="D98:D108" si="23">(C98-C97)/C97</f>
        <v>1.8624641833811322E-3</v>
      </c>
      <c r="E98">
        <f t="shared" si="16"/>
        <v>699</v>
      </c>
      <c r="F98" s="14">
        <f t="shared" ref="F98:F108" si="24">(E98-E97)/E97</f>
        <v>2.29423573272157E-3</v>
      </c>
      <c r="G98">
        <f t="shared" si="17"/>
        <v>526.90000000000009</v>
      </c>
      <c r="H98" s="14">
        <f t="shared" ref="H98:H108" si="25">(G98-G97)/G97</f>
        <v>7.4569789674953941E-3</v>
      </c>
      <c r="I98">
        <f t="shared" si="18"/>
        <v>167.4</v>
      </c>
      <c r="J98" s="14">
        <f t="shared" ref="J98:J108" si="26">(I98-I97)/I97</f>
        <v>6.0096153846153841E-3</v>
      </c>
      <c r="K98">
        <f t="shared" si="19"/>
        <v>179.6</v>
      </c>
      <c r="L98" s="14">
        <f t="shared" ref="L98:L108" si="27">(K98-K97)/K97</f>
        <v>2.0454545454545423E-2</v>
      </c>
      <c r="M98">
        <f t="shared" si="20"/>
        <v>176.1</v>
      </c>
      <c r="N98" s="14">
        <f t="shared" ref="N98:N108" si="28">(M98-M97)/M97</f>
        <v>3.9908779931584299E-3</v>
      </c>
      <c r="O98">
        <f t="shared" si="21"/>
        <v>161.6</v>
      </c>
      <c r="P98" s="14">
        <f t="shared" ref="P98:P108" si="29">(O98-O97)/O97</f>
        <v>3.1036623215394167E-3</v>
      </c>
      <c r="Q98">
        <f t="shared" si="22"/>
        <v>171.4</v>
      </c>
      <c r="R98" s="14">
        <f t="shared" ref="R98:R108" si="30">(Q98-Q97)/Q97</f>
        <v>1.4201183431952697E-2</v>
      </c>
      <c r="S98">
        <v>168.4</v>
      </c>
      <c r="T98" s="14">
        <f t="shared" ref="T98:T108" si="31">(S98-S97)/S97</f>
        <v>5.3731343283582433E-3</v>
      </c>
    </row>
    <row r="99" spans="1:29" x14ac:dyDescent="0.3">
      <c r="A99">
        <v>2022</v>
      </c>
      <c r="B99" t="s">
        <v>46</v>
      </c>
      <c r="C99">
        <f t="shared" si="15"/>
        <v>2100.4</v>
      </c>
      <c r="D99" s="14">
        <f t="shared" si="23"/>
        <v>1.191667858334525E-3</v>
      </c>
      <c r="E99">
        <f t="shared" si="16"/>
        <v>701.90000000000009</v>
      </c>
      <c r="F99" s="14">
        <f t="shared" si="24"/>
        <v>4.1487839771102873E-3</v>
      </c>
      <c r="G99">
        <f t="shared" si="17"/>
        <v>530.70000000000005</v>
      </c>
      <c r="H99" s="14">
        <f t="shared" si="25"/>
        <v>7.2119946858985647E-3</v>
      </c>
      <c r="I99">
        <f t="shared" si="18"/>
        <v>168.5</v>
      </c>
      <c r="J99" s="14">
        <f t="shared" si="26"/>
        <v>6.571087216248472E-3</v>
      </c>
      <c r="K99">
        <f t="shared" si="19"/>
        <v>178.8</v>
      </c>
      <c r="L99" s="14">
        <f t="shared" si="27"/>
        <v>-4.4543429844097048E-3</v>
      </c>
      <c r="M99">
        <f t="shared" si="20"/>
        <v>176.8</v>
      </c>
      <c r="N99" s="14">
        <f t="shared" si="28"/>
        <v>3.9750141964793699E-3</v>
      </c>
      <c r="O99">
        <f t="shared" si="21"/>
        <v>161.9</v>
      </c>
      <c r="P99" s="14">
        <f t="shared" si="29"/>
        <v>1.8564356435644268E-3</v>
      </c>
      <c r="Q99">
        <f t="shared" si="22"/>
        <v>172.3</v>
      </c>
      <c r="R99" s="14">
        <f t="shared" si="30"/>
        <v>5.2508751458576761E-3</v>
      </c>
      <c r="S99">
        <v>169.1</v>
      </c>
      <c r="T99" s="14">
        <f t="shared" si="31"/>
        <v>4.1567695961994573E-3</v>
      </c>
    </row>
    <row r="100" spans="1:29" x14ac:dyDescent="0.3">
      <c r="A100">
        <v>2022</v>
      </c>
      <c r="B100" t="s">
        <v>48</v>
      </c>
      <c r="C100">
        <f t="shared" si="15"/>
        <v>2111.5</v>
      </c>
      <c r="D100" s="14">
        <f t="shared" si="23"/>
        <v>5.2847076747285799E-3</v>
      </c>
      <c r="E100">
        <f t="shared" si="16"/>
        <v>703.8</v>
      </c>
      <c r="F100" s="14">
        <f t="shared" si="24"/>
        <v>2.7069383103004181E-3</v>
      </c>
      <c r="G100">
        <f t="shared" si="17"/>
        <v>535.1</v>
      </c>
      <c r="H100" s="14">
        <f t="shared" si="25"/>
        <v>8.2909364989635897E-3</v>
      </c>
      <c r="I100">
        <f t="shared" si="18"/>
        <v>169.5</v>
      </c>
      <c r="J100" s="14">
        <f t="shared" si="26"/>
        <v>5.9347181008902079E-3</v>
      </c>
      <c r="K100">
        <f t="shared" si="19"/>
        <v>179.5</v>
      </c>
      <c r="L100" s="14">
        <f t="shared" si="27"/>
        <v>3.9149888143176093E-3</v>
      </c>
      <c r="M100">
        <f t="shared" si="20"/>
        <v>177.8</v>
      </c>
      <c r="N100" s="14">
        <f t="shared" si="28"/>
        <v>5.6561085972850677E-3</v>
      </c>
      <c r="O100">
        <f t="shared" si="21"/>
        <v>162.30000000000001</v>
      </c>
      <c r="P100" s="14">
        <f t="shared" si="29"/>
        <v>2.470660901791264E-3</v>
      </c>
      <c r="Q100">
        <f t="shared" si="22"/>
        <v>173.1</v>
      </c>
      <c r="R100" s="14">
        <f t="shared" si="30"/>
        <v>4.6430644225187636E-3</v>
      </c>
      <c r="S100">
        <v>169.7</v>
      </c>
      <c r="T100" s="14">
        <f t="shared" si="31"/>
        <v>3.548196333530422E-3</v>
      </c>
    </row>
    <row r="101" spans="1:29" x14ac:dyDescent="0.3">
      <c r="A101">
        <v>2022</v>
      </c>
      <c r="B101" t="s">
        <v>50</v>
      </c>
      <c r="C101">
        <f t="shared" si="15"/>
        <v>2127.4</v>
      </c>
      <c r="D101" s="14">
        <f t="shared" si="23"/>
        <v>7.5301918067724799E-3</v>
      </c>
      <c r="E101">
        <f t="shared" si="16"/>
        <v>706.50000000000011</v>
      </c>
      <c r="F101" s="14">
        <f t="shared" si="24"/>
        <v>3.8363171355500986E-3</v>
      </c>
      <c r="G101">
        <f t="shared" si="17"/>
        <v>538.20000000000005</v>
      </c>
      <c r="H101" s="14">
        <f t="shared" si="25"/>
        <v>5.7933096617455108E-3</v>
      </c>
      <c r="I101">
        <f t="shared" si="18"/>
        <v>170.4</v>
      </c>
      <c r="J101" s="14">
        <f t="shared" si="26"/>
        <v>5.30973451327437E-3</v>
      </c>
      <c r="K101">
        <f t="shared" si="19"/>
        <v>180.5</v>
      </c>
      <c r="L101" s="14">
        <f t="shared" si="27"/>
        <v>5.5710306406685237E-3</v>
      </c>
      <c r="M101">
        <f t="shared" si="20"/>
        <v>178.7</v>
      </c>
      <c r="N101" s="14">
        <f t="shared" si="28"/>
        <v>5.0618672665915477E-3</v>
      </c>
      <c r="O101">
        <f t="shared" si="21"/>
        <v>162.9</v>
      </c>
      <c r="P101" s="14">
        <f t="shared" si="29"/>
        <v>3.6968576709796321E-3</v>
      </c>
      <c r="Q101">
        <f t="shared" si="22"/>
        <v>173.4</v>
      </c>
      <c r="R101" s="14">
        <f t="shared" si="30"/>
        <v>1.7331022530329948E-3</v>
      </c>
      <c r="S101">
        <v>170.5</v>
      </c>
      <c r="T101" s="14">
        <f t="shared" si="31"/>
        <v>4.7142015321155655E-3</v>
      </c>
    </row>
    <row r="102" spans="1:29" x14ac:dyDescent="0.3">
      <c r="A102">
        <v>2022</v>
      </c>
      <c r="B102" t="s">
        <v>53</v>
      </c>
      <c r="C102">
        <f t="shared" si="15"/>
        <v>2126.3999999999996</v>
      </c>
      <c r="D102" s="14">
        <f t="shared" si="23"/>
        <v>-4.7005734699654729E-4</v>
      </c>
      <c r="E102">
        <f t="shared" si="16"/>
        <v>709.4</v>
      </c>
      <c r="F102" s="14">
        <f t="shared" si="24"/>
        <v>4.1047416843593247E-3</v>
      </c>
      <c r="G102">
        <f t="shared" si="17"/>
        <v>541.4</v>
      </c>
      <c r="H102" s="14">
        <f t="shared" si="25"/>
        <v>5.9457450761797315E-3</v>
      </c>
      <c r="I102">
        <f t="shared" si="18"/>
        <v>171.4</v>
      </c>
      <c r="J102" s="14">
        <f t="shared" si="26"/>
        <v>5.8685446009389668E-3</v>
      </c>
      <c r="K102">
        <f t="shared" si="19"/>
        <v>181.3</v>
      </c>
      <c r="L102" s="14">
        <f t="shared" si="27"/>
        <v>4.4321329639889825E-3</v>
      </c>
      <c r="M102">
        <f t="shared" si="20"/>
        <v>179.8</v>
      </c>
      <c r="N102" s="14">
        <f t="shared" si="28"/>
        <v>6.1555679910465745E-3</v>
      </c>
      <c r="O102">
        <f t="shared" si="21"/>
        <v>163</v>
      </c>
      <c r="P102" s="14">
        <f t="shared" si="29"/>
        <v>6.1387354205030267E-4</v>
      </c>
      <c r="Q102">
        <f t="shared" si="22"/>
        <v>173.7</v>
      </c>
      <c r="R102" s="14">
        <f t="shared" si="30"/>
        <v>1.7301038062282753E-3</v>
      </c>
      <c r="S102">
        <v>171.1</v>
      </c>
      <c r="T102" s="14">
        <f t="shared" si="31"/>
        <v>3.5190615835776792E-3</v>
      </c>
    </row>
    <row r="103" spans="1:29" x14ac:dyDescent="0.3">
      <c r="A103">
        <v>2022</v>
      </c>
      <c r="B103" t="s">
        <v>55</v>
      </c>
      <c r="C103">
        <f t="shared" si="15"/>
        <v>2112.4</v>
      </c>
      <c r="D103" s="14">
        <f t="shared" si="23"/>
        <v>-6.5838976674188997E-3</v>
      </c>
      <c r="E103">
        <f t="shared" si="16"/>
        <v>713</v>
      </c>
      <c r="F103" s="14">
        <f t="shared" si="24"/>
        <v>5.0747110234000883E-3</v>
      </c>
      <c r="G103">
        <f t="shared" si="17"/>
        <v>544</v>
      </c>
      <c r="H103" s="14">
        <f t="shared" si="25"/>
        <v>4.8023642408570799E-3</v>
      </c>
      <c r="I103">
        <f t="shared" si="18"/>
        <v>172.1</v>
      </c>
      <c r="J103" s="14">
        <f t="shared" si="26"/>
        <v>4.0840140023336562E-3</v>
      </c>
      <c r="K103">
        <f t="shared" si="19"/>
        <v>182</v>
      </c>
      <c r="L103" s="14">
        <f t="shared" si="27"/>
        <v>3.8610038610037982E-3</v>
      </c>
      <c r="M103">
        <f t="shared" si="20"/>
        <v>181.1</v>
      </c>
      <c r="N103" s="14">
        <f t="shared" si="28"/>
        <v>7.2302558398219295E-3</v>
      </c>
      <c r="O103">
        <f t="shared" si="21"/>
        <v>163.4</v>
      </c>
      <c r="P103" s="14">
        <f t="shared" si="29"/>
        <v>2.4539877300613845E-3</v>
      </c>
      <c r="Q103">
        <f t="shared" si="22"/>
        <v>174.1</v>
      </c>
      <c r="R103" s="14">
        <f t="shared" si="30"/>
        <v>2.3028209556707293E-3</v>
      </c>
      <c r="S103">
        <v>172</v>
      </c>
      <c r="T103" s="14">
        <f t="shared" si="31"/>
        <v>5.2600818234950653E-3</v>
      </c>
    </row>
    <row r="104" spans="1:29" x14ac:dyDescent="0.3">
      <c r="A104">
        <v>2023</v>
      </c>
      <c r="B104" t="s">
        <v>31</v>
      </c>
      <c r="C104">
        <f t="shared" si="15"/>
        <v>2121.3000000000002</v>
      </c>
      <c r="D104" s="14">
        <f t="shared" si="23"/>
        <v>4.2132171937133544E-3</v>
      </c>
      <c r="E104">
        <f t="shared" si="16"/>
        <v>717.7</v>
      </c>
      <c r="F104" s="14">
        <f t="shared" si="24"/>
        <v>6.5918653576438222E-3</v>
      </c>
      <c r="G104">
        <f t="shared" si="17"/>
        <v>546.29999999999995</v>
      </c>
      <c r="H104" s="14">
        <f t="shared" si="25"/>
        <v>4.2279411764705047E-3</v>
      </c>
      <c r="I104">
        <f t="shared" si="18"/>
        <v>172.9</v>
      </c>
      <c r="J104" s="14">
        <f t="shared" si="26"/>
        <v>4.648460197559625E-3</v>
      </c>
      <c r="K104">
        <f t="shared" si="19"/>
        <v>182</v>
      </c>
      <c r="L104" s="14">
        <f t="shared" si="27"/>
        <v>0</v>
      </c>
      <c r="M104">
        <f t="shared" si="20"/>
        <v>182.3</v>
      </c>
      <c r="N104" s="14">
        <f t="shared" si="28"/>
        <v>6.6261733848703317E-3</v>
      </c>
      <c r="O104">
        <f t="shared" si="21"/>
        <v>163.6</v>
      </c>
      <c r="P104" s="14">
        <f t="shared" si="29"/>
        <v>1.2239902080782657E-3</v>
      </c>
      <c r="Q104">
        <f t="shared" si="22"/>
        <v>174.3</v>
      </c>
      <c r="R104" s="14">
        <f t="shared" si="30"/>
        <v>1.1487650775417408E-3</v>
      </c>
      <c r="S104">
        <v>172.8</v>
      </c>
      <c r="T104" s="14">
        <f t="shared" si="31"/>
        <v>4.6511627906977403E-3</v>
      </c>
    </row>
    <row r="105" spans="1:29" x14ac:dyDescent="0.3">
      <c r="A105">
        <v>2023</v>
      </c>
      <c r="B105" t="s">
        <v>36</v>
      </c>
      <c r="C105">
        <f t="shared" si="15"/>
        <v>2106.8000000000002</v>
      </c>
      <c r="D105" s="14">
        <f t="shared" si="23"/>
        <v>-6.8354311035685655E-3</v>
      </c>
      <c r="E105">
        <f t="shared" si="16"/>
        <v>723.1</v>
      </c>
      <c r="F105" s="14">
        <f t="shared" si="24"/>
        <v>7.5240351121638243E-3</v>
      </c>
      <c r="G105">
        <f t="shared" si="17"/>
        <v>550</v>
      </c>
      <c r="H105" s="14">
        <f t="shared" si="25"/>
        <v>6.7728354384038909E-3</v>
      </c>
      <c r="I105">
        <f t="shared" si="18"/>
        <v>174.2</v>
      </c>
      <c r="J105" s="14">
        <f t="shared" si="26"/>
        <v>7.5187969924811037E-3</v>
      </c>
      <c r="K105">
        <f t="shared" si="19"/>
        <v>182.1</v>
      </c>
      <c r="L105" s="14">
        <f t="shared" si="27"/>
        <v>5.4945054945051823E-4</v>
      </c>
      <c r="M105">
        <f t="shared" si="20"/>
        <v>184.4</v>
      </c>
      <c r="N105" s="14">
        <f t="shared" si="28"/>
        <v>1.1519473395501889E-2</v>
      </c>
      <c r="O105">
        <f t="shared" si="21"/>
        <v>164.2</v>
      </c>
      <c r="P105" s="14">
        <f t="shared" si="29"/>
        <v>3.6674816625916523E-3</v>
      </c>
      <c r="Q105">
        <f t="shared" si="22"/>
        <v>175</v>
      </c>
      <c r="R105" s="14">
        <f t="shared" si="30"/>
        <v>4.016064257028047E-3</v>
      </c>
      <c r="S105">
        <v>174.1</v>
      </c>
      <c r="T105" s="14">
        <f t="shared" si="31"/>
        <v>7.5231481481480489E-3</v>
      </c>
    </row>
    <row r="106" spans="1:29" x14ac:dyDescent="0.3">
      <c r="A106">
        <v>2023</v>
      </c>
      <c r="B106" t="s">
        <v>38</v>
      </c>
      <c r="C106">
        <f t="shared" si="15"/>
        <v>2106.8999999999996</v>
      </c>
      <c r="D106" s="14">
        <f t="shared" si="23"/>
        <v>4.7465350294026154E-5</v>
      </c>
      <c r="E106">
        <f t="shared" si="16"/>
        <v>723.1</v>
      </c>
      <c r="F106" s="14">
        <f t="shared" si="24"/>
        <v>0</v>
      </c>
      <c r="G106">
        <f t="shared" si="17"/>
        <v>549.9</v>
      </c>
      <c r="H106" s="14">
        <f t="shared" si="25"/>
        <v>-1.8181818181822317E-4</v>
      </c>
      <c r="I106">
        <f t="shared" si="18"/>
        <v>174.2</v>
      </c>
      <c r="J106" s="14">
        <f t="shared" si="26"/>
        <v>0</v>
      </c>
      <c r="K106">
        <f t="shared" si="19"/>
        <v>181.9</v>
      </c>
      <c r="L106" s="14">
        <f t="shared" si="27"/>
        <v>-1.0982976386600144E-3</v>
      </c>
      <c r="M106">
        <f t="shared" si="20"/>
        <v>184.4</v>
      </c>
      <c r="N106" s="14">
        <f t="shared" si="28"/>
        <v>0</v>
      </c>
      <c r="O106">
        <f t="shared" si="21"/>
        <v>164.2</v>
      </c>
      <c r="P106" s="14">
        <f t="shared" si="29"/>
        <v>0</v>
      </c>
      <c r="Q106">
        <f t="shared" si="22"/>
        <v>175</v>
      </c>
      <c r="R106" s="14">
        <f t="shared" si="30"/>
        <v>0</v>
      </c>
      <c r="S106">
        <v>174.1</v>
      </c>
      <c r="T106" s="14">
        <f t="shared" si="31"/>
        <v>0</v>
      </c>
    </row>
    <row r="107" spans="1:29" x14ac:dyDescent="0.3">
      <c r="A107">
        <v>2023</v>
      </c>
      <c r="B107" t="s">
        <v>39</v>
      </c>
      <c r="C107">
        <f t="shared" si="15"/>
        <v>2116.7000000000003</v>
      </c>
      <c r="D107" s="14">
        <f t="shared" si="23"/>
        <v>4.6513835492907295E-3</v>
      </c>
      <c r="E107">
        <f t="shared" si="16"/>
        <v>728.2</v>
      </c>
      <c r="F107" s="14">
        <f t="shared" si="24"/>
        <v>7.0529663946895622E-3</v>
      </c>
      <c r="G107">
        <f t="shared" si="17"/>
        <v>551.79999999999995</v>
      </c>
      <c r="H107" s="14">
        <f t="shared" si="25"/>
        <v>3.455173667939584E-3</v>
      </c>
      <c r="I107">
        <f t="shared" si="18"/>
        <v>174.6</v>
      </c>
      <c r="J107" s="14">
        <f t="shared" si="26"/>
        <v>2.2962112514351646E-3</v>
      </c>
      <c r="K107">
        <f t="shared" si="19"/>
        <v>181.7</v>
      </c>
      <c r="L107" s="14">
        <f t="shared" si="27"/>
        <v>-1.0995052226499013E-3</v>
      </c>
      <c r="M107">
        <f t="shared" si="20"/>
        <v>185</v>
      </c>
      <c r="N107" s="14">
        <f t="shared" si="28"/>
        <v>3.2537960954446546E-3</v>
      </c>
      <c r="O107">
        <f t="shared" si="21"/>
        <v>164.5</v>
      </c>
      <c r="P107" s="14">
        <f t="shared" si="29"/>
        <v>1.8270401948843567E-3</v>
      </c>
      <c r="Q107">
        <f t="shared" si="22"/>
        <v>176.4</v>
      </c>
      <c r="R107" s="14">
        <f t="shared" si="30"/>
        <v>8.0000000000000331E-3</v>
      </c>
      <c r="S107">
        <v>175</v>
      </c>
      <c r="T107" s="14">
        <f t="shared" si="31"/>
        <v>5.1694428489374254E-3</v>
      </c>
    </row>
    <row r="108" spans="1:29" x14ac:dyDescent="0.3">
      <c r="A108">
        <v>2023</v>
      </c>
      <c r="B108" t="s">
        <v>41</v>
      </c>
      <c r="C108">
        <f t="shared" si="15"/>
        <v>2133.5</v>
      </c>
      <c r="D108" s="14">
        <f t="shared" si="23"/>
        <v>7.9368828837339846E-3</v>
      </c>
      <c r="E108">
        <f t="shared" si="16"/>
        <v>730.8</v>
      </c>
      <c r="F108" s="14">
        <f t="shared" si="24"/>
        <v>3.5704476792088836E-3</v>
      </c>
      <c r="G108">
        <f t="shared" si="17"/>
        <v>553.20000000000005</v>
      </c>
      <c r="H108" s="14">
        <f t="shared" si="25"/>
        <v>2.5371511417181789E-3</v>
      </c>
      <c r="I108">
        <f t="shared" si="18"/>
        <v>175.2</v>
      </c>
      <c r="J108" s="14">
        <f t="shared" si="26"/>
        <v>3.4364261168384554E-3</v>
      </c>
      <c r="K108">
        <f t="shared" si="19"/>
        <v>182.8</v>
      </c>
      <c r="L108" s="14">
        <f t="shared" si="27"/>
        <v>6.0539350577876877E-3</v>
      </c>
      <c r="M108">
        <f t="shared" si="20"/>
        <v>185.7</v>
      </c>
      <c r="N108" s="14">
        <f t="shared" si="28"/>
        <v>3.7837837837837222E-3</v>
      </c>
      <c r="O108">
        <f t="shared" si="21"/>
        <v>164.8</v>
      </c>
      <c r="P108" s="14">
        <f t="shared" si="29"/>
        <v>1.8237082066869992E-3</v>
      </c>
      <c r="Q108">
        <f t="shared" si="22"/>
        <v>177.1</v>
      </c>
      <c r="R108" s="14">
        <f t="shared" si="30"/>
        <v>3.9682539682539038E-3</v>
      </c>
      <c r="S108">
        <v>175.7</v>
      </c>
      <c r="T108" s="14">
        <f t="shared" si="31"/>
        <v>3.999999999999935E-3</v>
      </c>
    </row>
    <row r="109" spans="1:29" ht="21" x14ac:dyDescent="0.4">
      <c r="D109" s="81" t="s">
        <v>33</v>
      </c>
      <c r="E109" s="81"/>
    </row>
    <row r="110" spans="1:29" x14ac:dyDescent="0.3">
      <c r="A110" t="s">
        <v>171</v>
      </c>
      <c r="B110" t="s">
        <v>172</v>
      </c>
      <c r="C110" t="s">
        <v>173</v>
      </c>
      <c r="D110" t="s">
        <v>165</v>
      </c>
      <c r="E110" t="s">
        <v>165</v>
      </c>
      <c r="F110" t="s">
        <v>165</v>
      </c>
      <c r="G110" t="s">
        <v>165</v>
      </c>
      <c r="H110" t="s">
        <v>165</v>
      </c>
      <c r="I110" t="s">
        <v>165</v>
      </c>
      <c r="J110" t="s">
        <v>165</v>
      </c>
      <c r="K110" t="s">
        <v>165</v>
      </c>
      <c r="L110" t="s">
        <v>165</v>
      </c>
      <c r="M110" t="s">
        <v>165</v>
      </c>
      <c r="N110" t="s">
        <v>166</v>
      </c>
      <c r="O110" t="s">
        <v>165</v>
      </c>
      <c r="P110" t="s">
        <v>165</v>
      </c>
      <c r="Q110" t="s">
        <v>166</v>
      </c>
      <c r="R110" t="s">
        <v>17</v>
      </c>
      <c r="S110" t="s">
        <v>17</v>
      </c>
      <c r="T110" t="s">
        <v>17</v>
      </c>
      <c r="U110" t="s">
        <v>167</v>
      </c>
      <c r="V110" t="s">
        <v>21</v>
      </c>
      <c r="W110" t="s">
        <v>167</v>
      </c>
      <c r="X110" t="s">
        <v>23</v>
      </c>
      <c r="Y110" t="s">
        <v>24</v>
      </c>
      <c r="Z110" t="s">
        <v>166</v>
      </c>
      <c r="AA110" t="s">
        <v>26</v>
      </c>
      <c r="AB110" t="s">
        <v>169</v>
      </c>
      <c r="AC110" t="s">
        <v>170</v>
      </c>
    </row>
    <row r="111" spans="1:29" x14ac:dyDescent="0.3">
      <c r="A111" t="s">
        <v>0</v>
      </c>
      <c r="B111" t="s">
        <v>1</v>
      </c>
      <c r="C111" t="s">
        <v>2</v>
      </c>
      <c r="D111" t="s">
        <v>3</v>
      </c>
      <c r="E111" t="s">
        <v>4</v>
      </c>
      <c r="F111" t="s">
        <v>5</v>
      </c>
      <c r="G111" t="s">
        <v>6</v>
      </c>
      <c r="H111" t="s">
        <v>7</v>
      </c>
      <c r="I111" t="s">
        <v>8</v>
      </c>
      <c r="J111" t="s">
        <v>9</v>
      </c>
      <c r="K111" t="s">
        <v>10</v>
      </c>
      <c r="L111" t="s">
        <v>11</v>
      </c>
      <c r="M111" t="s">
        <v>12</v>
      </c>
      <c r="N111" t="s">
        <v>13</v>
      </c>
      <c r="O111" t="s">
        <v>14</v>
      </c>
      <c r="P111" t="s">
        <v>15</v>
      </c>
      <c r="Q111" t="s">
        <v>16</v>
      </c>
      <c r="R111" t="s">
        <v>17</v>
      </c>
      <c r="S111" t="s">
        <v>18</v>
      </c>
      <c r="T111" t="s">
        <v>19</v>
      </c>
      <c r="U111" t="s">
        <v>20</v>
      </c>
      <c r="V111" t="s">
        <v>21</v>
      </c>
      <c r="W111" t="s">
        <v>22</v>
      </c>
      <c r="X111" t="s">
        <v>23</v>
      </c>
      <c r="Y111" t="s">
        <v>24</v>
      </c>
      <c r="Z111" t="s">
        <v>25</v>
      </c>
      <c r="AA111" t="s">
        <v>26</v>
      </c>
      <c r="AB111" t="s">
        <v>27</v>
      </c>
      <c r="AC111" t="s">
        <v>28</v>
      </c>
    </row>
    <row r="112" spans="1:29" x14ac:dyDescent="0.3">
      <c r="A112" t="s">
        <v>33</v>
      </c>
      <c r="B112">
        <v>2022</v>
      </c>
      <c r="C112" t="s">
        <v>41</v>
      </c>
      <c r="D112">
        <v>156.69999999999999</v>
      </c>
      <c r="E112">
        <v>221.2</v>
      </c>
      <c r="F112">
        <v>164.1</v>
      </c>
      <c r="G112">
        <v>165.4</v>
      </c>
      <c r="H112">
        <v>189.5</v>
      </c>
      <c r="I112">
        <v>174.5</v>
      </c>
      <c r="J112">
        <v>203.2</v>
      </c>
      <c r="K112">
        <v>164.1</v>
      </c>
      <c r="L112">
        <v>121.2</v>
      </c>
      <c r="M112">
        <v>181.4</v>
      </c>
      <c r="N112">
        <v>158.5</v>
      </c>
      <c r="O112">
        <v>184.9</v>
      </c>
      <c r="P112">
        <v>177.5</v>
      </c>
      <c r="Q112">
        <v>197.5</v>
      </c>
      <c r="R112">
        <v>170</v>
      </c>
      <c r="S112">
        <v>155.9</v>
      </c>
      <c r="T112">
        <v>167.8</v>
      </c>
      <c r="U112" t="s">
        <v>153</v>
      </c>
      <c r="V112">
        <v>173.5</v>
      </c>
      <c r="W112">
        <v>161.1</v>
      </c>
      <c r="X112">
        <v>170.1</v>
      </c>
      <c r="Y112">
        <v>159.4</v>
      </c>
      <c r="Z112">
        <v>163.19999999999999</v>
      </c>
      <c r="AA112">
        <v>165.2</v>
      </c>
      <c r="AB112">
        <v>168.2</v>
      </c>
      <c r="AC112">
        <v>163.80000000000001</v>
      </c>
    </row>
    <row r="113" spans="1:29" x14ac:dyDescent="0.3">
      <c r="A113" t="s">
        <v>33</v>
      </c>
      <c r="B113">
        <v>2022</v>
      </c>
      <c r="C113" t="s">
        <v>42</v>
      </c>
      <c r="D113">
        <v>157.5</v>
      </c>
      <c r="E113">
        <v>223.4</v>
      </c>
      <c r="F113">
        <v>172.8</v>
      </c>
      <c r="G113">
        <v>166.4</v>
      </c>
      <c r="H113">
        <v>188.6</v>
      </c>
      <c r="I113">
        <v>174.1</v>
      </c>
      <c r="J113">
        <v>211.5</v>
      </c>
      <c r="K113">
        <v>163.6</v>
      </c>
      <c r="L113">
        <v>121.4</v>
      </c>
      <c r="M113">
        <v>183.5</v>
      </c>
      <c r="N113">
        <v>159.1</v>
      </c>
      <c r="O113">
        <v>186.3</v>
      </c>
      <c r="P113">
        <v>179.3</v>
      </c>
      <c r="Q113">
        <v>198.3</v>
      </c>
      <c r="R113">
        <v>171.6</v>
      </c>
      <c r="S113">
        <v>157.4</v>
      </c>
      <c r="T113">
        <v>169.4</v>
      </c>
      <c r="U113" t="s">
        <v>154</v>
      </c>
      <c r="V113">
        <v>174.9</v>
      </c>
      <c r="W113">
        <v>162.1</v>
      </c>
      <c r="X113">
        <v>170.9</v>
      </c>
      <c r="Y113">
        <v>157.19999999999999</v>
      </c>
      <c r="Z113">
        <v>164.1</v>
      </c>
      <c r="AA113">
        <v>166.5</v>
      </c>
      <c r="AB113">
        <v>169.2</v>
      </c>
      <c r="AC113">
        <v>163.80000000000001</v>
      </c>
    </row>
    <row r="114" spans="1:29" x14ac:dyDescent="0.3">
      <c r="A114" t="s">
        <v>33</v>
      </c>
      <c r="B114">
        <v>2022</v>
      </c>
      <c r="C114" t="s">
        <v>44</v>
      </c>
      <c r="D114">
        <v>159.30000000000001</v>
      </c>
      <c r="E114">
        <v>217.1</v>
      </c>
      <c r="F114">
        <v>176.6</v>
      </c>
      <c r="G114">
        <v>167.1</v>
      </c>
      <c r="H114">
        <v>184.8</v>
      </c>
      <c r="I114">
        <v>179.5</v>
      </c>
      <c r="J114">
        <v>208.5</v>
      </c>
      <c r="K114">
        <v>164</v>
      </c>
      <c r="L114">
        <v>121.5</v>
      </c>
      <c r="M114">
        <v>186.3</v>
      </c>
      <c r="N114">
        <v>159.80000000000001</v>
      </c>
      <c r="O114">
        <v>187.7</v>
      </c>
      <c r="P114">
        <v>179.4</v>
      </c>
      <c r="Q114">
        <v>198.6</v>
      </c>
      <c r="R114">
        <v>172.7</v>
      </c>
      <c r="S114">
        <v>158.69999999999999</v>
      </c>
      <c r="T114">
        <v>170.6</v>
      </c>
      <c r="U114" t="s">
        <v>155</v>
      </c>
      <c r="V114">
        <v>179.5</v>
      </c>
      <c r="W114">
        <v>163.1</v>
      </c>
      <c r="X114">
        <v>171.7</v>
      </c>
      <c r="Y114">
        <v>157.4</v>
      </c>
      <c r="Z114">
        <v>164.6</v>
      </c>
      <c r="AA114">
        <v>169.1</v>
      </c>
      <c r="AB114">
        <v>169.8</v>
      </c>
      <c r="AC114">
        <v>164.7</v>
      </c>
    </row>
    <row r="115" spans="1:29" x14ac:dyDescent="0.3">
      <c r="A115" t="s">
        <v>33</v>
      </c>
      <c r="B115">
        <v>2022</v>
      </c>
      <c r="C115" t="s">
        <v>46</v>
      </c>
      <c r="D115">
        <v>162.1</v>
      </c>
      <c r="E115">
        <v>210.9</v>
      </c>
      <c r="F115">
        <v>170.6</v>
      </c>
      <c r="G115">
        <v>168.4</v>
      </c>
      <c r="H115">
        <v>182.5</v>
      </c>
      <c r="I115">
        <v>177.1</v>
      </c>
      <c r="J115">
        <v>213.1</v>
      </c>
      <c r="K115">
        <v>167.3</v>
      </c>
      <c r="L115">
        <v>122.2</v>
      </c>
      <c r="M115">
        <v>189.7</v>
      </c>
      <c r="N115">
        <v>160.5</v>
      </c>
      <c r="O115">
        <v>188.9</v>
      </c>
      <c r="P115">
        <v>180.4</v>
      </c>
      <c r="Q115">
        <v>198.7</v>
      </c>
      <c r="R115">
        <v>173.7</v>
      </c>
      <c r="S115">
        <v>160</v>
      </c>
      <c r="T115">
        <v>171.6</v>
      </c>
      <c r="U115" t="s">
        <v>156</v>
      </c>
      <c r="V115">
        <v>178.4</v>
      </c>
      <c r="W115">
        <v>164.2</v>
      </c>
      <c r="X115">
        <v>172.6</v>
      </c>
      <c r="Y115">
        <v>157.69999999999999</v>
      </c>
      <c r="Z115">
        <v>165.1</v>
      </c>
      <c r="AA115">
        <v>169.9</v>
      </c>
      <c r="AB115">
        <v>171.4</v>
      </c>
      <c r="AC115">
        <v>165.4</v>
      </c>
    </row>
    <row r="116" spans="1:29" x14ac:dyDescent="0.3">
      <c r="A116" t="s">
        <v>33</v>
      </c>
      <c r="B116">
        <v>2022</v>
      </c>
      <c r="C116" t="s">
        <v>48</v>
      </c>
      <c r="D116">
        <v>164.9</v>
      </c>
      <c r="E116">
        <v>213.7</v>
      </c>
      <c r="F116">
        <v>170.9</v>
      </c>
      <c r="G116">
        <v>170.1</v>
      </c>
      <c r="H116">
        <v>179.3</v>
      </c>
      <c r="I116">
        <v>167.5</v>
      </c>
      <c r="J116">
        <v>220.8</v>
      </c>
      <c r="K116">
        <v>169.2</v>
      </c>
      <c r="L116">
        <v>123.1</v>
      </c>
      <c r="M116">
        <v>193.6</v>
      </c>
      <c r="N116">
        <v>161.1</v>
      </c>
      <c r="O116">
        <v>190.4</v>
      </c>
      <c r="P116">
        <v>181.8</v>
      </c>
      <c r="Q116">
        <v>199.7</v>
      </c>
      <c r="R116">
        <v>175</v>
      </c>
      <c r="S116">
        <v>161.69999999999999</v>
      </c>
      <c r="T116">
        <v>173</v>
      </c>
      <c r="U116" t="s">
        <v>157</v>
      </c>
      <c r="V116">
        <v>179.2</v>
      </c>
      <c r="W116">
        <v>165</v>
      </c>
      <c r="X116">
        <v>173.8</v>
      </c>
      <c r="Y116">
        <v>158.19999999999999</v>
      </c>
      <c r="Z116">
        <v>165.8</v>
      </c>
      <c r="AA116">
        <v>170.9</v>
      </c>
      <c r="AB116">
        <v>171.1</v>
      </c>
      <c r="AC116">
        <v>166.1</v>
      </c>
    </row>
    <row r="117" spans="1:29" x14ac:dyDescent="0.3">
      <c r="A117" t="s">
        <v>33</v>
      </c>
      <c r="B117">
        <v>2022</v>
      </c>
      <c r="C117" t="s">
        <v>50</v>
      </c>
      <c r="D117">
        <v>166.4</v>
      </c>
      <c r="E117">
        <v>214.9</v>
      </c>
      <c r="F117">
        <v>171.9</v>
      </c>
      <c r="G117">
        <v>171</v>
      </c>
      <c r="H117">
        <v>177.7</v>
      </c>
      <c r="I117">
        <v>165.7</v>
      </c>
      <c r="J117">
        <v>228.6</v>
      </c>
      <c r="K117">
        <v>169.9</v>
      </c>
      <c r="L117">
        <v>123.4</v>
      </c>
      <c r="M117">
        <v>196.4</v>
      </c>
      <c r="N117">
        <v>161.6</v>
      </c>
      <c r="O117">
        <v>191.5</v>
      </c>
      <c r="P117">
        <v>183.3</v>
      </c>
      <c r="Q117">
        <v>200.1</v>
      </c>
      <c r="R117">
        <v>175.5</v>
      </c>
      <c r="S117">
        <v>162.6</v>
      </c>
      <c r="T117">
        <v>173.6</v>
      </c>
      <c r="U117" t="s">
        <v>158</v>
      </c>
      <c r="V117">
        <v>180</v>
      </c>
      <c r="W117">
        <v>166</v>
      </c>
      <c r="X117">
        <v>174.7</v>
      </c>
      <c r="Y117">
        <v>158.80000000000001</v>
      </c>
      <c r="Z117">
        <v>166.3</v>
      </c>
      <c r="AA117">
        <v>171.2</v>
      </c>
      <c r="AB117">
        <v>172.3</v>
      </c>
      <c r="AC117">
        <v>166.8</v>
      </c>
    </row>
    <row r="118" spans="1:29" x14ac:dyDescent="0.3">
      <c r="A118" t="s">
        <v>33</v>
      </c>
      <c r="B118">
        <v>2022</v>
      </c>
      <c r="C118" t="s">
        <v>53</v>
      </c>
      <c r="D118">
        <v>168.4</v>
      </c>
      <c r="E118">
        <v>213.4</v>
      </c>
      <c r="F118">
        <v>183.2</v>
      </c>
      <c r="G118">
        <v>172.3</v>
      </c>
      <c r="H118">
        <v>180</v>
      </c>
      <c r="I118">
        <v>162.6</v>
      </c>
      <c r="J118">
        <v>205.5</v>
      </c>
      <c r="K118">
        <v>171</v>
      </c>
      <c r="L118">
        <v>123.4</v>
      </c>
      <c r="M118">
        <v>198.8</v>
      </c>
      <c r="N118">
        <v>162.1</v>
      </c>
      <c r="O118">
        <v>192.4</v>
      </c>
      <c r="P118">
        <v>181.3</v>
      </c>
      <c r="Q118">
        <v>200.6</v>
      </c>
      <c r="R118">
        <v>176.7</v>
      </c>
      <c r="S118">
        <v>163.5</v>
      </c>
      <c r="T118">
        <v>174.7</v>
      </c>
      <c r="U118" t="s">
        <v>159</v>
      </c>
      <c r="V118">
        <v>180.3</v>
      </c>
      <c r="W118">
        <v>166.9</v>
      </c>
      <c r="X118">
        <v>175.8</v>
      </c>
      <c r="Y118">
        <v>158.9</v>
      </c>
      <c r="Z118">
        <v>166.7</v>
      </c>
      <c r="AA118">
        <v>171.5</v>
      </c>
      <c r="AB118">
        <v>173.8</v>
      </c>
      <c r="AC118">
        <v>167.4</v>
      </c>
    </row>
    <row r="119" spans="1:29" x14ac:dyDescent="0.3">
      <c r="A119" t="s">
        <v>33</v>
      </c>
      <c r="B119">
        <v>2022</v>
      </c>
      <c r="C119" t="s">
        <v>55</v>
      </c>
      <c r="D119">
        <v>170.2</v>
      </c>
      <c r="E119">
        <v>212.9</v>
      </c>
      <c r="F119">
        <v>191.9</v>
      </c>
      <c r="G119">
        <v>173.9</v>
      </c>
      <c r="H119">
        <v>179.1</v>
      </c>
      <c r="I119">
        <v>159.5</v>
      </c>
      <c r="J119">
        <v>178.7</v>
      </c>
      <c r="K119">
        <v>171.3</v>
      </c>
      <c r="L119">
        <v>123.1</v>
      </c>
      <c r="M119">
        <v>200.5</v>
      </c>
      <c r="N119">
        <v>162.80000000000001</v>
      </c>
      <c r="O119">
        <v>193.3</v>
      </c>
      <c r="P119">
        <v>178.6</v>
      </c>
      <c r="Q119">
        <v>201.1</v>
      </c>
      <c r="R119">
        <v>177.7</v>
      </c>
      <c r="S119">
        <v>164.5</v>
      </c>
      <c r="T119">
        <v>175.7</v>
      </c>
      <c r="U119" t="s">
        <v>160</v>
      </c>
      <c r="V119">
        <v>180.6</v>
      </c>
      <c r="W119">
        <v>167.3</v>
      </c>
      <c r="X119">
        <v>177.2</v>
      </c>
      <c r="Y119">
        <v>159.4</v>
      </c>
      <c r="Z119">
        <v>167.1</v>
      </c>
      <c r="AA119">
        <v>171.8</v>
      </c>
      <c r="AB119">
        <v>176</v>
      </c>
      <c r="AC119">
        <v>168.2</v>
      </c>
    </row>
    <row r="120" spans="1:29" x14ac:dyDescent="0.3">
      <c r="A120" t="s">
        <v>33</v>
      </c>
      <c r="B120">
        <v>2023</v>
      </c>
      <c r="C120" t="s">
        <v>31</v>
      </c>
      <c r="D120">
        <v>173.3</v>
      </c>
      <c r="E120">
        <v>215.2</v>
      </c>
      <c r="F120">
        <v>197</v>
      </c>
      <c r="G120">
        <v>175.2</v>
      </c>
      <c r="H120">
        <v>178</v>
      </c>
      <c r="I120">
        <v>160.5</v>
      </c>
      <c r="J120">
        <v>175.3</v>
      </c>
      <c r="K120">
        <v>171.2</v>
      </c>
      <c r="L120">
        <v>122.7</v>
      </c>
      <c r="M120">
        <v>204.3</v>
      </c>
      <c r="N120">
        <v>163.69999999999999</v>
      </c>
      <c r="O120">
        <v>194.3</v>
      </c>
      <c r="P120">
        <v>179.5</v>
      </c>
      <c r="Q120">
        <v>201.6</v>
      </c>
      <c r="R120">
        <v>178.7</v>
      </c>
      <c r="S120">
        <v>165.3</v>
      </c>
      <c r="T120">
        <v>176.6</v>
      </c>
      <c r="U120" t="s">
        <v>161</v>
      </c>
      <c r="V120">
        <v>180.1</v>
      </c>
      <c r="W120">
        <v>168</v>
      </c>
      <c r="X120">
        <v>178.5</v>
      </c>
      <c r="Y120">
        <v>159.5</v>
      </c>
      <c r="Z120">
        <v>167.8</v>
      </c>
      <c r="AA120">
        <v>171.8</v>
      </c>
      <c r="AB120">
        <v>178.8</v>
      </c>
      <c r="AC120">
        <v>168.9</v>
      </c>
    </row>
    <row r="121" spans="1:29" x14ac:dyDescent="0.3">
      <c r="A121" t="s">
        <v>33</v>
      </c>
      <c r="B121">
        <v>2023</v>
      </c>
      <c r="C121" t="s">
        <v>36</v>
      </c>
      <c r="D121">
        <v>174.7</v>
      </c>
      <c r="E121">
        <v>212.2</v>
      </c>
      <c r="F121">
        <v>177.2</v>
      </c>
      <c r="G121">
        <v>177.9</v>
      </c>
      <c r="H121">
        <v>172.2</v>
      </c>
      <c r="I121">
        <v>172.1</v>
      </c>
      <c r="J121">
        <v>175.8</v>
      </c>
      <c r="K121">
        <v>172.2</v>
      </c>
      <c r="L121">
        <v>121.9</v>
      </c>
      <c r="M121">
        <v>204.8</v>
      </c>
      <c r="N121">
        <v>164.9</v>
      </c>
      <c r="O121">
        <v>196.6</v>
      </c>
      <c r="P121">
        <v>180.7</v>
      </c>
      <c r="Q121">
        <v>202.7</v>
      </c>
      <c r="R121">
        <v>180.3</v>
      </c>
      <c r="S121">
        <v>167</v>
      </c>
      <c r="T121">
        <v>178.2</v>
      </c>
      <c r="U121" t="s">
        <v>162</v>
      </c>
      <c r="V121">
        <v>182.8</v>
      </c>
      <c r="W121">
        <v>169.2</v>
      </c>
      <c r="X121">
        <v>180.8</v>
      </c>
      <c r="Y121">
        <v>159.80000000000001</v>
      </c>
      <c r="Z121">
        <v>168.4</v>
      </c>
      <c r="AA121">
        <v>172.5</v>
      </c>
      <c r="AB121">
        <v>181.4</v>
      </c>
      <c r="AC121">
        <v>170</v>
      </c>
    </row>
    <row r="122" spans="1:29" x14ac:dyDescent="0.3">
      <c r="A122" t="s">
        <v>33</v>
      </c>
      <c r="B122">
        <v>2023</v>
      </c>
      <c r="C122" t="s">
        <v>38</v>
      </c>
      <c r="D122">
        <v>174.7</v>
      </c>
      <c r="E122">
        <v>212.2</v>
      </c>
      <c r="F122">
        <v>177.2</v>
      </c>
      <c r="G122">
        <v>177.9</v>
      </c>
      <c r="H122">
        <v>172.2</v>
      </c>
      <c r="I122">
        <v>172.1</v>
      </c>
      <c r="J122">
        <v>175.9</v>
      </c>
      <c r="K122">
        <v>172.2</v>
      </c>
      <c r="L122">
        <v>121.9</v>
      </c>
      <c r="M122">
        <v>204.8</v>
      </c>
      <c r="N122">
        <v>164.9</v>
      </c>
      <c r="O122">
        <v>196.6</v>
      </c>
      <c r="P122">
        <v>180.8</v>
      </c>
      <c r="Q122">
        <v>202.7</v>
      </c>
      <c r="R122">
        <v>180.2</v>
      </c>
      <c r="S122">
        <v>167</v>
      </c>
      <c r="T122">
        <v>178.2</v>
      </c>
      <c r="U122" t="s">
        <v>162</v>
      </c>
      <c r="V122">
        <v>182.6</v>
      </c>
      <c r="W122">
        <v>169.2</v>
      </c>
      <c r="X122">
        <v>180.8</v>
      </c>
      <c r="Y122">
        <v>159.80000000000001</v>
      </c>
      <c r="Z122">
        <v>168.4</v>
      </c>
      <c r="AA122">
        <v>172.5</v>
      </c>
      <c r="AB122">
        <v>181.5</v>
      </c>
      <c r="AC122">
        <v>170</v>
      </c>
    </row>
    <row r="123" spans="1:29" x14ac:dyDescent="0.3">
      <c r="A123" t="s">
        <v>33</v>
      </c>
      <c r="B123">
        <v>2023</v>
      </c>
      <c r="C123" t="s">
        <v>39</v>
      </c>
      <c r="D123">
        <v>174.8</v>
      </c>
      <c r="E123">
        <v>213.7</v>
      </c>
      <c r="F123">
        <v>172.4</v>
      </c>
      <c r="G123">
        <v>178.8</v>
      </c>
      <c r="H123">
        <v>168.7</v>
      </c>
      <c r="I123">
        <v>179.2</v>
      </c>
      <c r="J123">
        <v>179.9</v>
      </c>
      <c r="K123">
        <v>174.7</v>
      </c>
      <c r="L123">
        <v>123.1</v>
      </c>
      <c r="M123">
        <v>207.8</v>
      </c>
      <c r="N123">
        <v>165.5</v>
      </c>
      <c r="O123">
        <v>197</v>
      </c>
      <c r="P123">
        <v>182.1</v>
      </c>
      <c r="Q123">
        <v>203.5</v>
      </c>
      <c r="R123">
        <v>181</v>
      </c>
      <c r="S123">
        <v>167.7</v>
      </c>
      <c r="T123">
        <v>178.9</v>
      </c>
      <c r="U123" t="s">
        <v>163</v>
      </c>
      <c r="V123">
        <v>182.1</v>
      </c>
      <c r="W123">
        <v>169.6</v>
      </c>
      <c r="X123">
        <v>181.5</v>
      </c>
      <c r="Y123">
        <v>160.1</v>
      </c>
      <c r="Z123">
        <v>168.8</v>
      </c>
      <c r="AA123">
        <v>174.2</v>
      </c>
      <c r="AB123">
        <v>184.4</v>
      </c>
      <c r="AC123">
        <v>170.9</v>
      </c>
    </row>
    <row r="124" spans="1:29" x14ac:dyDescent="0.3">
      <c r="A124" t="s">
        <v>33</v>
      </c>
      <c r="B124">
        <v>2023</v>
      </c>
      <c r="C124" t="s">
        <v>41</v>
      </c>
      <c r="D124">
        <v>174.7</v>
      </c>
      <c r="E124">
        <v>219.4</v>
      </c>
      <c r="F124">
        <v>176.7</v>
      </c>
      <c r="G124">
        <v>179.4</v>
      </c>
      <c r="H124">
        <v>164.4</v>
      </c>
      <c r="I124">
        <v>175.8</v>
      </c>
      <c r="J124">
        <v>185</v>
      </c>
      <c r="K124">
        <v>176.9</v>
      </c>
      <c r="L124">
        <v>124.2</v>
      </c>
      <c r="M124">
        <v>211.9</v>
      </c>
      <c r="N124">
        <v>165.9</v>
      </c>
      <c r="O124">
        <v>197.7</v>
      </c>
      <c r="P124">
        <v>183.1</v>
      </c>
      <c r="Q124">
        <v>204.2</v>
      </c>
      <c r="R124">
        <v>181.3</v>
      </c>
      <c r="S124">
        <v>168.1</v>
      </c>
      <c r="T124">
        <v>179.3</v>
      </c>
      <c r="U124" t="s">
        <v>164</v>
      </c>
      <c r="V124">
        <v>183.4</v>
      </c>
      <c r="W124">
        <v>170.1</v>
      </c>
      <c r="X124">
        <v>182.2</v>
      </c>
      <c r="Y124">
        <v>160.4</v>
      </c>
      <c r="Z124">
        <v>169.2</v>
      </c>
      <c r="AA124">
        <v>174.8</v>
      </c>
      <c r="AB124">
        <v>185.6</v>
      </c>
      <c r="AC124">
        <v>171.6</v>
      </c>
    </row>
    <row r="127" spans="1:29" x14ac:dyDescent="0.3">
      <c r="A127" t="s">
        <v>1</v>
      </c>
      <c r="B127" t="s">
        <v>2</v>
      </c>
      <c r="C127" t="s">
        <v>188</v>
      </c>
      <c r="E127" t="s">
        <v>189</v>
      </c>
      <c r="G127" t="s">
        <v>190</v>
      </c>
      <c r="I127" t="s">
        <v>191</v>
      </c>
      <c r="K127" t="s">
        <v>185</v>
      </c>
      <c r="M127" t="s">
        <v>186</v>
      </c>
      <c r="O127" t="s">
        <v>24</v>
      </c>
      <c r="Q127" t="s">
        <v>187</v>
      </c>
      <c r="S127" t="s">
        <v>170</v>
      </c>
    </row>
    <row r="128" spans="1:29" x14ac:dyDescent="0.3">
      <c r="A128">
        <v>2022</v>
      </c>
      <c r="B128" t="s">
        <v>41</v>
      </c>
      <c r="C128">
        <f>SUM(D112:M112,O112:P112)</f>
        <v>2103.7000000000003</v>
      </c>
      <c r="E128">
        <f>SUM(Q112,Z112,AB112)</f>
        <v>528.9</v>
      </c>
      <c r="G128">
        <f>SUM(R112:T112)</f>
        <v>493.7</v>
      </c>
      <c r="I128">
        <v>161.1</v>
      </c>
      <c r="K128">
        <v>173.5</v>
      </c>
      <c r="M128">
        <v>170.1</v>
      </c>
      <c r="O128">
        <v>159.4</v>
      </c>
      <c r="Q128">
        <v>165.2</v>
      </c>
      <c r="S128">
        <v>163.80000000000001</v>
      </c>
    </row>
    <row r="129" spans="1:20" x14ac:dyDescent="0.3">
      <c r="A129">
        <v>2022</v>
      </c>
      <c r="B129" t="s">
        <v>42</v>
      </c>
      <c r="C129">
        <f t="shared" ref="C129:C140" si="32">SUM(D113:M113,O113:P113)</f>
        <v>2128.4</v>
      </c>
      <c r="D129" s="14">
        <f>(C129-C128)/C128</f>
        <v>1.1741217854256698E-2</v>
      </c>
      <c r="E129">
        <f>SUM(Q113,Z113,AB113)</f>
        <v>531.59999999999991</v>
      </c>
      <c r="F129" s="14">
        <f t="shared" ref="F129:F140" si="33">(E129-E128)/E128</f>
        <v>5.1049347702778062E-3</v>
      </c>
      <c r="G129">
        <f t="shared" ref="G129:G140" si="34">SUM(R113:T113)</f>
        <v>498.4</v>
      </c>
      <c r="H129" s="14">
        <f t="shared" ref="H129:H140" si="35">(G129-G128)/G128</f>
        <v>9.5199513874822533E-3</v>
      </c>
      <c r="I129">
        <v>162.1</v>
      </c>
      <c r="J129" s="14">
        <f t="shared" ref="J129:J140" si="36">(I129-I128)/I128</f>
        <v>6.2073246430788334E-3</v>
      </c>
      <c r="K129">
        <v>174.9</v>
      </c>
      <c r="L129" s="14">
        <f t="shared" ref="L129:L140" si="37">(K129-K128)/K128</f>
        <v>8.0691642651297153E-3</v>
      </c>
      <c r="M129">
        <v>170.9</v>
      </c>
      <c r="N129" s="14">
        <f t="shared" ref="N129:N140" si="38">(M129-M128)/M128</f>
        <v>4.7031158142269922E-3</v>
      </c>
      <c r="O129">
        <v>157.19999999999999</v>
      </c>
      <c r="P129" s="14">
        <f t="shared" ref="P129:P140" si="39">(O129-O128)/O128</f>
        <v>-1.3801756587202113E-2</v>
      </c>
      <c r="Q129">
        <v>166.5</v>
      </c>
      <c r="R129" s="14">
        <f t="shared" ref="R129:R140" si="40">(Q129-Q128)/Q128</f>
        <v>7.8692493946731935E-3</v>
      </c>
      <c r="S129">
        <v>163.80000000000001</v>
      </c>
      <c r="T129" s="14">
        <f t="shared" ref="T129:T140" si="41">(S129-S128)/S128</f>
        <v>0</v>
      </c>
    </row>
    <row r="130" spans="1:20" x14ac:dyDescent="0.3">
      <c r="A130">
        <v>2022</v>
      </c>
      <c r="B130" t="s">
        <v>44</v>
      </c>
      <c r="C130">
        <f t="shared" si="32"/>
        <v>2131.8000000000002</v>
      </c>
      <c r="D130" s="14">
        <f t="shared" ref="D130:D140" si="42">(C130-C129)/C129</f>
        <v>1.5974440894569117E-3</v>
      </c>
      <c r="E130">
        <f t="shared" ref="E130:E140" si="43">SUM(Q114,Z114,AB114)</f>
        <v>533</v>
      </c>
      <c r="F130" s="14">
        <f t="shared" si="33"/>
        <v>2.6335590669678164E-3</v>
      </c>
      <c r="G130">
        <f t="shared" si="34"/>
        <v>502</v>
      </c>
      <c r="H130" s="14">
        <f t="shared" si="35"/>
        <v>7.2231139646870444E-3</v>
      </c>
      <c r="I130">
        <v>163.1</v>
      </c>
      <c r="J130" s="14">
        <f t="shared" si="36"/>
        <v>6.1690314620604569E-3</v>
      </c>
      <c r="K130">
        <v>179.5</v>
      </c>
      <c r="L130" s="14">
        <f t="shared" si="37"/>
        <v>2.6300743281875323E-2</v>
      </c>
      <c r="M130">
        <v>171.7</v>
      </c>
      <c r="N130" s="14">
        <f t="shared" si="38"/>
        <v>4.6811000585136511E-3</v>
      </c>
      <c r="O130">
        <v>157.4</v>
      </c>
      <c r="P130" s="14">
        <f t="shared" si="39"/>
        <v>1.2722646310433655E-3</v>
      </c>
      <c r="Q130">
        <v>169.1</v>
      </c>
      <c r="R130" s="14">
        <f t="shared" si="40"/>
        <v>1.5615615615615582E-2</v>
      </c>
      <c r="S130">
        <v>164.7</v>
      </c>
      <c r="T130" s="14">
        <f t="shared" si="41"/>
        <v>5.4945054945053553E-3</v>
      </c>
    </row>
    <row r="131" spans="1:20" x14ac:dyDescent="0.3">
      <c r="A131">
        <v>2022</v>
      </c>
      <c r="B131" t="s">
        <v>46</v>
      </c>
      <c r="C131">
        <f t="shared" si="32"/>
        <v>2133.1999999999998</v>
      </c>
      <c r="D131" s="14">
        <f t="shared" si="42"/>
        <v>6.5672201895095039E-4</v>
      </c>
      <c r="E131">
        <f t="shared" si="43"/>
        <v>535.19999999999993</v>
      </c>
      <c r="F131" s="14">
        <f t="shared" si="33"/>
        <v>4.1275797373357065E-3</v>
      </c>
      <c r="G131">
        <f t="shared" si="34"/>
        <v>505.29999999999995</v>
      </c>
      <c r="H131" s="14">
        <f t="shared" si="35"/>
        <v>6.5737051792827779E-3</v>
      </c>
      <c r="I131">
        <v>164.2</v>
      </c>
      <c r="J131" s="14">
        <f t="shared" si="36"/>
        <v>6.7443286327406151E-3</v>
      </c>
      <c r="K131">
        <v>178.4</v>
      </c>
      <c r="L131" s="14">
        <f t="shared" si="37"/>
        <v>-6.1281337047353448E-3</v>
      </c>
      <c r="M131">
        <v>172.6</v>
      </c>
      <c r="N131" s="14">
        <f t="shared" si="38"/>
        <v>5.2417006406523343E-3</v>
      </c>
      <c r="O131">
        <v>157.69999999999999</v>
      </c>
      <c r="P131" s="14">
        <f t="shared" si="39"/>
        <v>1.9059720457432208E-3</v>
      </c>
      <c r="Q131">
        <v>169.9</v>
      </c>
      <c r="R131" s="14">
        <f t="shared" si="40"/>
        <v>4.730928444707341E-3</v>
      </c>
      <c r="S131">
        <v>165.4</v>
      </c>
      <c r="T131" s="14">
        <f t="shared" si="41"/>
        <v>4.2501517911355015E-3</v>
      </c>
    </row>
    <row r="132" spans="1:20" x14ac:dyDescent="0.3">
      <c r="A132">
        <v>2022</v>
      </c>
      <c r="B132" t="s">
        <v>48</v>
      </c>
      <c r="C132">
        <f t="shared" si="32"/>
        <v>2145.3000000000002</v>
      </c>
      <c r="D132" s="14">
        <f t="shared" si="42"/>
        <v>5.6722295143448176E-3</v>
      </c>
      <c r="E132">
        <f t="shared" si="43"/>
        <v>536.6</v>
      </c>
      <c r="F132" s="14">
        <f t="shared" si="33"/>
        <v>2.6158445440958356E-3</v>
      </c>
      <c r="G132">
        <f t="shared" si="34"/>
        <v>509.7</v>
      </c>
      <c r="H132" s="14">
        <f t="shared" si="35"/>
        <v>8.7076983969919548E-3</v>
      </c>
      <c r="I132">
        <v>165</v>
      </c>
      <c r="J132" s="14">
        <f t="shared" si="36"/>
        <v>4.8721071863581699E-3</v>
      </c>
      <c r="K132">
        <v>179.2</v>
      </c>
      <c r="L132" s="14">
        <f t="shared" si="37"/>
        <v>4.4843049327353305E-3</v>
      </c>
      <c r="M132">
        <v>173.8</v>
      </c>
      <c r="N132" s="14">
        <f t="shared" si="38"/>
        <v>6.952491309385962E-3</v>
      </c>
      <c r="O132">
        <v>158.19999999999999</v>
      </c>
      <c r="P132" s="14">
        <f t="shared" si="39"/>
        <v>3.1705770450221942E-3</v>
      </c>
      <c r="Q132">
        <v>170.9</v>
      </c>
      <c r="R132" s="14">
        <f t="shared" si="40"/>
        <v>5.885815185403178E-3</v>
      </c>
      <c r="S132">
        <v>166.1</v>
      </c>
      <c r="T132" s="14">
        <f t="shared" si="41"/>
        <v>4.2321644498185523E-3</v>
      </c>
    </row>
    <row r="133" spans="1:20" x14ac:dyDescent="0.3">
      <c r="A133">
        <v>2022</v>
      </c>
      <c r="B133" t="s">
        <v>50</v>
      </c>
      <c r="C133">
        <f t="shared" si="32"/>
        <v>2160.7000000000003</v>
      </c>
      <c r="D133" s="14">
        <f t="shared" si="42"/>
        <v>7.1784831958234697E-3</v>
      </c>
      <c r="E133">
        <f t="shared" si="43"/>
        <v>538.70000000000005</v>
      </c>
      <c r="F133" s="14">
        <f t="shared" si="33"/>
        <v>3.9135296310101059E-3</v>
      </c>
      <c r="G133">
        <f t="shared" si="34"/>
        <v>511.70000000000005</v>
      </c>
      <c r="H133" s="14">
        <f t="shared" si="35"/>
        <v>3.9238767902688969E-3</v>
      </c>
      <c r="I133">
        <v>166</v>
      </c>
      <c r="J133" s="14">
        <f t="shared" si="36"/>
        <v>6.0606060606060606E-3</v>
      </c>
      <c r="K133">
        <v>180</v>
      </c>
      <c r="L133" s="14">
        <f t="shared" si="37"/>
        <v>4.4642857142857782E-3</v>
      </c>
      <c r="M133">
        <v>174.7</v>
      </c>
      <c r="N133" s="14">
        <f t="shared" si="38"/>
        <v>5.1783659378594775E-3</v>
      </c>
      <c r="O133">
        <v>158.80000000000001</v>
      </c>
      <c r="P133" s="14">
        <f t="shared" si="39"/>
        <v>3.7926675094818126E-3</v>
      </c>
      <c r="Q133">
        <v>171.2</v>
      </c>
      <c r="R133" s="14">
        <f t="shared" si="40"/>
        <v>1.7554125219425567E-3</v>
      </c>
      <c r="S133">
        <v>166.8</v>
      </c>
      <c r="T133" s="14">
        <f t="shared" si="41"/>
        <v>4.2143287176400791E-3</v>
      </c>
    </row>
    <row r="134" spans="1:20" x14ac:dyDescent="0.3">
      <c r="A134">
        <v>2022</v>
      </c>
      <c r="B134" t="s">
        <v>53</v>
      </c>
      <c r="C134">
        <f t="shared" si="32"/>
        <v>2152.3000000000002</v>
      </c>
      <c r="D134" s="14">
        <f t="shared" si="42"/>
        <v>-3.8876290091174573E-3</v>
      </c>
      <c r="E134">
        <f t="shared" si="43"/>
        <v>541.09999999999991</v>
      </c>
      <c r="F134" s="14">
        <f t="shared" si="33"/>
        <v>4.4551698533504052E-3</v>
      </c>
      <c r="G134">
        <f t="shared" si="34"/>
        <v>514.9</v>
      </c>
      <c r="H134" s="14">
        <f t="shared" si="35"/>
        <v>6.2536642564001007E-3</v>
      </c>
      <c r="I134">
        <v>166.9</v>
      </c>
      <c r="J134" s="14">
        <f t="shared" si="36"/>
        <v>5.4216867469879864E-3</v>
      </c>
      <c r="K134">
        <v>180.3</v>
      </c>
      <c r="L134" s="14">
        <f t="shared" si="37"/>
        <v>1.6666666666667299E-3</v>
      </c>
      <c r="M134">
        <v>175.8</v>
      </c>
      <c r="N134" s="14">
        <f t="shared" si="38"/>
        <v>6.2965082999428892E-3</v>
      </c>
      <c r="O134">
        <v>158.9</v>
      </c>
      <c r="P134" s="14">
        <f t="shared" si="39"/>
        <v>6.2972292191432189E-4</v>
      </c>
      <c r="Q134">
        <v>171.5</v>
      </c>
      <c r="R134" s="14">
        <f t="shared" si="40"/>
        <v>1.7523364485981974E-3</v>
      </c>
      <c r="S134">
        <v>167.4</v>
      </c>
      <c r="T134" s="14">
        <f t="shared" si="41"/>
        <v>3.5971223021582389E-3</v>
      </c>
    </row>
    <row r="135" spans="1:20" x14ac:dyDescent="0.3">
      <c r="A135">
        <v>2022</v>
      </c>
      <c r="B135" t="s">
        <v>55</v>
      </c>
      <c r="C135">
        <f t="shared" si="32"/>
        <v>2133</v>
      </c>
      <c r="D135" s="14">
        <f t="shared" si="42"/>
        <v>-8.9671514194118764E-3</v>
      </c>
      <c r="E135">
        <f t="shared" si="43"/>
        <v>544.20000000000005</v>
      </c>
      <c r="F135" s="14">
        <f t="shared" si="33"/>
        <v>5.7290704121237051E-3</v>
      </c>
      <c r="G135">
        <f t="shared" si="34"/>
        <v>517.9</v>
      </c>
      <c r="H135" s="14">
        <f t="shared" si="35"/>
        <v>5.8263740532142165E-3</v>
      </c>
      <c r="I135">
        <v>167.3</v>
      </c>
      <c r="J135" s="14">
        <f t="shared" si="36"/>
        <v>2.3966446974236408E-3</v>
      </c>
      <c r="K135">
        <v>180.6</v>
      </c>
      <c r="L135" s="14">
        <f t="shared" si="37"/>
        <v>1.6638935108152131E-3</v>
      </c>
      <c r="M135">
        <v>177.2</v>
      </c>
      <c r="N135" s="14">
        <f t="shared" si="38"/>
        <v>7.9635949943115888E-3</v>
      </c>
      <c r="O135">
        <v>159.4</v>
      </c>
      <c r="P135" s="14">
        <f t="shared" si="39"/>
        <v>3.1466331025802388E-3</v>
      </c>
      <c r="Q135">
        <v>171.8</v>
      </c>
      <c r="R135" s="14">
        <f t="shared" si="40"/>
        <v>1.7492711370263054E-3</v>
      </c>
      <c r="S135">
        <v>168.2</v>
      </c>
      <c r="T135" s="14">
        <f t="shared" si="41"/>
        <v>4.778972520907903E-3</v>
      </c>
    </row>
    <row r="136" spans="1:20" x14ac:dyDescent="0.3">
      <c r="A136">
        <v>2023</v>
      </c>
      <c r="B136" t="s">
        <v>31</v>
      </c>
      <c r="C136">
        <f t="shared" si="32"/>
        <v>2146.5</v>
      </c>
      <c r="D136" s="14">
        <f t="shared" si="42"/>
        <v>6.3291139240506328E-3</v>
      </c>
      <c r="E136">
        <f t="shared" si="43"/>
        <v>548.20000000000005</v>
      </c>
      <c r="F136" s="14">
        <f t="shared" si="33"/>
        <v>7.3502388827636888E-3</v>
      </c>
      <c r="G136">
        <f t="shared" si="34"/>
        <v>520.6</v>
      </c>
      <c r="H136" s="14">
        <f t="shared" si="35"/>
        <v>5.2133616528288193E-3</v>
      </c>
      <c r="I136">
        <v>168</v>
      </c>
      <c r="J136" s="14">
        <f t="shared" si="36"/>
        <v>4.1841004184099738E-3</v>
      </c>
      <c r="K136">
        <v>180.1</v>
      </c>
      <c r="L136" s="14">
        <f t="shared" si="37"/>
        <v>-2.7685492801771874E-3</v>
      </c>
      <c r="M136">
        <v>178.5</v>
      </c>
      <c r="N136" s="14">
        <f t="shared" si="38"/>
        <v>7.3363431151242178E-3</v>
      </c>
      <c r="O136">
        <v>159.5</v>
      </c>
      <c r="P136" s="14">
        <f t="shared" si="39"/>
        <v>6.2735257214551008E-4</v>
      </c>
      <c r="Q136">
        <v>171.8</v>
      </c>
      <c r="R136" s="14">
        <f t="shared" si="40"/>
        <v>0</v>
      </c>
      <c r="S136">
        <v>168.9</v>
      </c>
      <c r="T136" s="14">
        <f t="shared" si="41"/>
        <v>4.1617122473247151E-3</v>
      </c>
    </row>
    <row r="137" spans="1:20" x14ac:dyDescent="0.3">
      <c r="A137">
        <v>2023</v>
      </c>
      <c r="B137" t="s">
        <v>36</v>
      </c>
      <c r="C137">
        <f t="shared" si="32"/>
        <v>2138.2999999999997</v>
      </c>
      <c r="D137" s="14">
        <f t="shared" si="42"/>
        <v>-3.8201723736316202E-3</v>
      </c>
      <c r="E137">
        <f t="shared" si="43"/>
        <v>552.5</v>
      </c>
      <c r="F137" s="14">
        <f t="shared" si="33"/>
        <v>7.8438526085369466E-3</v>
      </c>
      <c r="G137">
        <f t="shared" si="34"/>
        <v>525.5</v>
      </c>
      <c r="H137" s="14">
        <f t="shared" si="35"/>
        <v>9.4122166730694918E-3</v>
      </c>
      <c r="I137">
        <v>169.2</v>
      </c>
      <c r="J137" s="14">
        <f t="shared" si="36"/>
        <v>7.142857142857075E-3</v>
      </c>
      <c r="K137">
        <v>182.8</v>
      </c>
      <c r="L137" s="14">
        <f t="shared" si="37"/>
        <v>1.4991671293725804E-2</v>
      </c>
      <c r="M137">
        <v>180.8</v>
      </c>
      <c r="N137" s="14">
        <f t="shared" si="38"/>
        <v>1.2885154061624713E-2</v>
      </c>
      <c r="O137">
        <v>159.80000000000001</v>
      </c>
      <c r="P137" s="14">
        <f t="shared" si="39"/>
        <v>1.8808777429467798E-3</v>
      </c>
      <c r="Q137">
        <v>172.5</v>
      </c>
      <c r="R137" s="14">
        <f t="shared" si="40"/>
        <v>4.0745052386495263E-3</v>
      </c>
      <c r="S137">
        <v>170</v>
      </c>
      <c r="T137" s="14">
        <f t="shared" si="41"/>
        <v>6.5127294256956438E-3</v>
      </c>
    </row>
    <row r="138" spans="1:20" x14ac:dyDescent="0.3">
      <c r="A138">
        <v>2023</v>
      </c>
      <c r="B138" t="s">
        <v>38</v>
      </c>
      <c r="C138">
        <f t="shared" si="32"/>
        <v>2138.5</v>
      </c>
      <c r="D138" s="14">
        <f t="shared" si="42"/>
        <v>9.3532245241674636E-5</v>
      </c>
      <c r="E138">
        <f t="shared" si="43"/>
        <v>552.6</v>
      </c>
      <c r="F138" s="14">
        <f t="shared" si="33"/>
        <v>1.8099547511316331E-4</v>
      </c>
      <c r="G138">
        <f t="shared" si="34"/>
        <v>525.4</v>
      </c>
      <c r="H138" s="14">
        <f t="shared" si="35"/>
        <v>-1.9029495718367789E-4</v>
      </c>
      <c r="I138">
        <v>169.2</v>
      </c>
      <c r="J138" s="14">
        <f t="shared" si="36"/>
        <v>0</v>
      </c>
      <c r="K138">
        <v>182.6</v>
      </c>
      <c r="L138" s="14">
        <f t="shared" si="37"/>
        <v>-1.0940919037200057E-3</v>
      </c>
      <c r="M138">
        <v>180.8</v>
      </c>
      <c r="N138" s="14">
        <f t="shared" si="38"/>
        <v>0</v>
      </c>
      <c r="O138">
        <v>159.80000000000001</v>
      </c>
      <c r="P138" s="14">
        <f t="shared" si="39"/>
        <v>0</v>
      </c>
      <c r="Q138">
        <v>172.5</v>
      </c>
      <c r="R138" s="14">
        <f t="shared" si="40"/>
        <v>0</v>
      </c>
      <c r="S138">
        <v>170</v>
      </c>
      <c r="T138" s="14">
        <f t="shared" si="41"/>
        <v>0</v>
      </c>
    </row>
    <row r="139" spans="1:20" x14ac:dyDescent="0.3">
      <c r="A139">
        <v>2023</v>
      </c>
      <c r="B139" t="s">
        <v>39</v>
      </c>
      <c r="C139">
        <f t="shared" si="32"/>
        <v>2152.2000000000003</v>
      </c>
      <c r="D139" s="14">
        <f t="shared" si="42"/>
        <v>6.4063595978490874E-3</v>
      </c>
      <c r="E139">
        <f t="shared" si="43"/>
        <v>556.70000000000005</v>
      </c>
      <c r="F139" s="14">
        <f t="shared" si="33"/>
        <v>7.4194715888527369E-3</v>
      </c>
      <c r="G139">
        <f t="shared" si="34"/>
        <v>527.6</v>
      </c>
      <c r="H139" s="14">
        <f t="shared" si="35"/>
        <v>4.187285877426809E-3</v>
      </c>
      <c r="I139">
        <v>169.6</v>
      </c>
      <c r="J139" s="14">
        <f t="shared" si="36"/>
        <v>2.3640661938534617E-3</v>
      </c>
      <c r="K139">
        <v>182.1</v>
      </c>
      <c r="L139" s="14">
        <f t="shared" si="37"/>
        <v>-2.7382256297918948E-3</v>
      </c>
      <c r="M139">
        <v>181.5</v>
      </c>
      <c r="N139" s="14">
        <f t="shared" si="38"/>
        <v>3.8716814159291406E-3</v>
      </c>
      <c r="O139">
        <v>160.1</v>
      </c>
      <c r="P139" s="14">
        <f t="shared" si="39"/>
        <v>1.877346683354086E-3</v>
      </c>
      <c r="Q139">
        <v>174.2</v>
      </c>
      <c r="R139" s="14">
        <f t="shared" si="40"/>
        <v>9.8550724637680494E-3</v>
      </c>
      <c r="S139">
        <v>170.9</v>
      </c>
      <c r="T139" s="14">
        <f t="shared" si="41"/>
        <v>5.2941176470588571E-3</v>
      </c>
    </row>
    <row r="140" spans="1:20" x14ac:dyDescent="0.3">
      <c r="A140">
        <v>2023</v>
      </c>
      <c r="B140" t="s">
        <v>41</v>
      </c>
      <c r="C140">
        <f t="shared" si="32"/>
        <v>2169.2000000000003</v>
      </c>
      <c r="D140" s="14">
        <f t="shared" si="42"/>
        <v>7.8988941548183249E-3</v>
      </c>
      <c r="E140">
        <f t="shared" si="43"/>
        <v>559</v>
      </c>
      <c r="F140" s="14">
        <f t="shared" si="33"/>
        <v>4.1314891323872005E-3</v>
      </c>
      <c r="G140">
        <f t="shared" si="34"/>
        <v>528.70000000000005</v>
      </c>
      <c r="H140" s="14">
        <f t="shared" si="35"/>
        <v>2.0849128127369649E-3</v>
      </c>
      <c r="I140">
        <v>170.1</v>
      </c>
      <c r="J140" s="14">
        <f t="shared" si="36"/>
        <v>2.94811320754717E-3</v>
      </c>
      <c r="K140">
        <v>183.4</v>
      </c>
      <c r="L140" s="14">
        <f t="shared" si="37"/>
        <v>7.1389346512905627E-3</v>
      </c>
      <c r="M140">
        <v>182.2</v>
      </c>
      <c r="N140" s="14">
        <f t="shared" si="38"/>
        <v>3.8567493112947032E-3</v>
      </c>
      <c r="O140">
        <v>160.4</v>
      </c>
      <c r="P140" s="14">
        <f t="shared" si="39"/>
        <v>1.8738288569644683E-3</v>
      </c>
      <c r="Q140">
        <v>174.8</v>
      </c>
      <c r="R140" s="14">
        <f t="shared" si="40"/>
        <v>3.4443168771528289E-3</v>
      </c>
      <c r="S140">
        <v>171.6</v>
      </c>
      <c r="T140" s="14">
        <f t="shared" si="41"/>
        <v>4.0959625511994653E-3</v>
      </c>
    </row>
    <row r="142" spans="1:20" ht="25.8" x14ac:dyDescent="0.3">
      <c r="A142" s="80" t="s">
        <v>194</v>
      </c>
      <c r="B142" s="80"/>
      <c r="C142" s="80"/>
    </row>
    <row r="143" spans="1:20" ht="21" x14ac:dyDescent="0.4">
      <c r="E143" s="81" t="s">
        <v>193</v>
      </c>
      <c r="F143" s="81"/>
    </row>
    <row r="144" spans="1:20" x14ac:dyDescent="0.3">
      <c r="E144" t="s">
        <v>195</v>
      </c>
      <c r="F144" t="s">
        <v>229</v>
      </c>
      <c r="G144" t="s">
        <v>196</v>
      </c>
      <c r="H144" t="s">
        <v>230</v>
      </c>
      <c r="I144" t="s">
        <v>197</v>
      </c>
      <c r="J144" t="s">
        <v>230</v>
      </c>
    </row>
    <row r="145" spans="1:28" x14ac:dyDescent="0.3">
      <c r="A145" s="11" t="s">
        <v>30</v>
      </c>
      <c r="B145" s="3" t="s">
        <v>226</v>
      </c>
      <c r="C145" s="3">
        <v>2017</v>
      </c>
      <c r="D145" s="3" t="s">
        <v>38</v>
      </c>
      <c r="E145">
        <v>1872.7000000000003</v>
      </c>
      <c r="G145" s="3">
        <v>130.6</v>
      </c>
      <c r="H145" s="3"/>
      <c r="I145" s="3">
        <v>1193.5</v>
      </c>
      <c r="K145" s="3"/>
    </row>
    <row r="146" spans="1:28" x14ac:dyDescent="0.3">
      <c r="A146" s="12" t="s">
        <v>30</v>
      </c>
      <c r="B146" s="3" t="s">
        <v>226</v>
      </c>
      <c r="C146" s="4">
        <v>2018</v>
      </c>
      <c r="D146" s="4" t="s">
        <v>38</v>
      </c>
      <c r="E146" s="3">
        <v>1937.0999999999997</v>
      </c>
      <c r="F146" s="22">
        <v>3.4388850323062638E-2</v>
      </c>
      <c r="G146" s="4">
        <v>136.69999999999999</v>
      </c>
      <c r="H146" s="22">
        <v>4.6707503828483876E-2</v>
      </c>
      <c r="I146" s="3">
        <v>1254.7</v>
      </c>
      <c r="J146" s="22">
        <v>5.1277754503560993E-2</v>
      </c>
    </row>
    <row r="147" spans="1:28" x14ac:dyDescent="0.3">
      <c r="A147" s="11" t="s">
        <v>30</v>
      </c>
      <c r="B147" s="3" t="s">
        <v>226</v>
      </c>
      <c r="C147" s="3">
        <v>2019</v>
      </c>
      <c r="D147" s="3" t="s">
        <v>38</v>
      </c>
      <c r="E147">
        <v>1924.1000000000004</v>
      </c>
      <c r="F147" s="22">
        <v>-6.7110629291204996E-3</v>
      </c>
      <c r="G147" s="3">
        <v>150.4</v>
      </c>
      <c r="H147" s="22">
        <v>0.10021945866861755</v>
      </c>
      <c r="I147" s="3">
        <v>1306.5999999999999</v>
      </c>
      <c r="J147" s="22">
        <v>4.1364469594325229E-2</v>
      </c>
    </row>
    <row r="148" spans="1:28" x14ac:dyDescent="0.3">
      <c r="A148" s="12" t="s">
        <v>30</v>
      </c>
      <c r="B148" s="4" t="s">
        <v>227</v>
      </c>
      <c r="C148" s="4">
        <v>2020</v>
      </c>
      <c r="D148" s="4" t="s">
        <v>38</v>
      </c>
      <c r="E148" s="3">
        <v>2065.0999999999995</v>
      </c>
      <c r="F148" s="22">
        <v>7.328101450028536E-2</v>
      </c>
      <c r="G148" s="4">
        <v>156.69999999999999</v>
      </c>
      <c r="H148" s="22">
        <v>4.1888297872340309E-2</v>
      </c>
      <c r="I148" s="3">
        <v>1351.7</v>
      </c>
      <c r="J148" s="22">
        <v>3.4517067197306094E-2</v>
      </c>
    </row>
    <row r="149" spans="1:28" x14ac:dyDescent="0.3">
      <c r="A149" s="12" t="s">
        <v>30</v>
      </c>
      <c r="B149" s="4" t="s">
        <v>228</v>
      </c>
      <c r="C149" s="4">
        <v>2021</v>
      </c>
      <c r="D149" s="4" t="s">
        <v>38</v>
      </c>
      <c r="E149">
        <v>2211.8000000000002</v>
      </c>
      <c r="F149" s="22">
        <v>7.1037722144206464E-2</v>
      </c>
      <c r="G149" s="3">
        <v>164.6</v>
      </c>
      <c r="H149" s="22">
        <v>5.0414805360561622E-2</v>
      </c>
      <c r="I149" s="3">
        <v>1409.6999999999998</v>
      </c>
      <c r="J149" s="22">
        <v>4.290892949618981E-2</v>
      </c>
    </row>
    <row r="150" spans="1:28" x14ac:dyDescent="0.3">
      <c r="A150" s="11" t="s">
        <v>30</v>
      </c>
      <c r="B150" s="4" t="s">
        <v>228</v>
      </c>
      <c r="C150" s="3">
        <v>2022</v>
      </c>
      <c r="D150" s="3" t="s">
        <v>38</v>
      </c>
      <c r="E150">
        <v>2371.4000000000005</v>
      </c>
      <c r="F150" s="22">
        <v>7.2158423003888389E-2</v>
      </c>
      <c r="G150" s="4">
        <v>176</v>
      </c>
      <c r="H150" s="22">
        <v>6.9258809234507931E-2</v>
      </c>
      <c r="I150" s="3">
        <v>1525.7</v>
      </c>
      <c r="J150" s="22">
        <v>8.228701142086986E-2</v>
      </c>
    </row>
    <row r="151" spans="1:28" x14ac:dyDescent="0.3">
      <c r="A151" s="12" t="s">
        <v>30</v>
      </c>
      <c r="B151" s="4" t="s">
        <v>228</v>
      </c>
      <c r="C151" s="4">
        <v>2023</v>
      </c>
      <c r="D151" s="4" t="s">
        <v>38</v>
      </c>
      <c r="E151">
        <v>2464.2000000000003</v>
      </c>
      <c r="G151" s="3">
        <v>186.6</v>
      </c>
      <c r="H151" s="3"/>
      <c r="I151" s="3">
        <v>1627.6</v>
      </c>
    </row>
    <row r="153" spans="1:28" x14ac:dyDescent="0.3">
      <c r="A153" t="s">
        <v>171</v>
      </c>
      <c r="B153" t="s">
        <v>172</v>
      </c>
      <c r="C153" t="s">
        <v>173</v>
      </c>
      <c r="D153" s="2" t="s">
        <v>203</v>
      </c>
      <c r="E153" s="2" t="s">
        <v>203</v>
      </c>
      <c r="F153" s="2" t="s">
        <v>203</v>
      </c>
      <c r="G153" s="2" t="s">
        <v>203</v>
      </c>
      <c r="H153" s="2" t="s">
        <v>203</v>
      </c>
      <c r="I153" s="2" t="s">
        <v>203</v>
      </c>
      <c r="J153" s="2" t="s">
        <v>203</v>
      </c>
      <c r="K153" s="2" t="s">
        <v>203</v>
      </c>
      <c r="L153" s="2" t="s">
        <v>203</v>
      </c>
      <c r="M153" s="2" t="s">
        <v>203</v>
      </c>
      <c r="N153" s="2" t="s">
        <v>203</v>
      </c>
      <c r="O153" s="2" t="s">
        <v>203</v>
      </c>
      <c r="P153" s="2" t="s">
        <v>203</v>
      </c>
      <c r="Q153" s="2" t="s">
        <v>203</v>
      </c>
      <c r="R153" s="2" t="s">
        <v>204</v>
      </c>
      <c r="S153" s="2" t="s">
        <v>204</v>
      </c>
      <c r="T153" s="2" t="s">
        <v>204</v>
      </c>
      <c r="U153" s="2" t="s">
        <v>204</v>
      </c>
      <c r="V153" s="2" t="s">
        <v>204</v>
      </c>
      <c r="W153" s="2" t="s">
        <v>204</v>
      </c>
      <c r="X153" s="2" t="s">
        <v>204</v>
      </c>
      <c r="Y153" s="2" t="s">
        <v>204</v>
      </c>
      <c r="Z153" s="2" t="s">
        <v>204</v>
      </c>
      <c r="AA153" s="2" t="s">
        <v>204</v>
      </c>
      <c r="AB153" s="2" t="s">
        <v>23</v>
      </c>
    </row>
    <row r="154" spans="1:28" x14ac:dyDescent="0.3">
      <c r="A154" s="1" t="s">
        <v>0</v>
      </c>
      <c r="B154" s="2" t="s">
        <v>1</v>
      </c>
      <c r="C154" s="2" t="s">
        <v>2</v>
      </c>
      <c r="D154" s="2" t="s">
        <v>3</v>
      </c>
      <c r="E154" s="2" t="s">
        <v>4</v>
      </c>
      <c r="F154" s="2" t="s">
        <v>5</v>
      </c>
      <c r="G154" s="2" t="s">
        <v>6</v>
      </c>
      <c r="H154" s="2" t="s">
        <v>7</v>
      </c>
      <c r="I154" s="2" t="s">
        <v>8</v>
      </c>
      <c r="J154" s="2" t="s">
        <v>9</v>
      </c>
      <c r="K154" s="2" t="s">
        <v>10</v>
      </c>
      <c r="L154" s="2" t="s">
        <v>11</v>
      </c>
      <c r="M154" s="2" t="s">
        <v>12</v>
      </c>
      <c r="N154" s="2" t="s">
        <v>13</v>
      </c>
      <c r="O154" s="2" t="s">
        <v>14</v>
      </c>
      <c r="P154" s="2" t="s">
        <v>15</v>
      </c>
      <c r="Q154" s="2" t="s">
        <v>16</v>
      </c>
      <c r="R154" s="2" t="s">
        <v>17</v>
      </c>
      <c r="S154" s="2" t="s">
        <v>18</v>
      </c>
      <c r="T154" s="2" t="s">
        <v>19</v>
      </c>
      <c r="U154" s="2" t="s">
        <v>20</v>
      </c>
      <c r="V154" s="2" t="s">
        <v>21</v>
      </c>
      <c r="W154" s="2" t="s">
        <v>22</v>
      </c>
      <c r="X154" s="2" t="s">
        <v>24</v>
      </c>
      <c r="Y154" s="2" t="s">
        <v>25</v>
      </c>
      <c r="Z154" s="2" t="s">
        <v>26</v>
      </c>
      <c r="AA154" s="2" t="s">
        <v>27</v>
      </c>
      <c r="AB154" s="2" t="s">
        <v>23</v>
      </c>
    </row>
    <row r="155" spans="1:28" x14ac:dyDescent="0.3">
      <c r="A155" s="11" t="s">
        <v>30</v>
      </c>
      <c r="B155" s="3">
        <v>2017</v>
      </c>
      <c r="C155" s="3" t="s">
        <v>38</v>
      </c>
      <c r="D155" s="3">
        <v>133.6</v>
      </c>
      <c r="E155" s="3">
        <v>138.80000000000001</v>
      </c>
      <c r="F155" s="3">
        <v>128.80000000000001</v>
      </c>
      <c r="G155" s="3">
        <v>137.19999999999999</v>
      </c>
      <c r="H155" s="3">
        <v>121.6</v>
      </c>
      <c r="I155" s="3">
        <v>139.69999999999999</v>
      </c>
      <c r="J155" s="3">
        <v>119.7</v>
      </c>
      <c r="K155" s="3">
        <v>148</v>
      </c>
      <c r="L155" s="3">
        <v>116.9</v>
      </c>
      <c r="M155" s="3">
        <v>135.6</v>
      </c>
      <c r="N155" s="3">
        <v>129.80000000000001</v>
      </c>
      <c r="O155" s="3">
        <v>145.4</v>
      </c>
      <c r="P155" s="3">
        <v>133.4</v>
      </c>
      <c r="Q155" s="3">
        <v>144.19999999999999</v>
      </c>
      <c r="R155" s="3">
        <v>141.6</v>
      </c>
      <c r="S155" s="3">
        <v>136.19999999999999</v>
      </c>
      <c r="T155" s="3">
        <v>140.80000000000001</v>
      </c>
      <c r="U155" s="3"/>
      <c r="V155" s="3">
        <v>134.19999999999999</v>
      </c>
      <c r="W155" s="3">
        <v>134.1</v>
      </c>
      <c r="X155" s="3">
        <v>119.8</v>
      </c>
      <c r="Y155" s="3">
        <v>128.30000000000001</v>
      </c>
      <c r="Z155" s="3">
        <v>135.19999999999999</v>
      </c>
      <c r="AA155" s="3">
        <v>123.3</v>
      </c>
      <c r="AB155" s="3">
        <v>130.6</v>
      </c>
    </row>
    <row r="156" spans="1:28" x14ac:dyDescent="0.3">
      <c r="A156" s="12" t="s">
        <v>30</v>
      </c>
      <c r="B156" s="4">
        <v>2018</v>
      </c>
      <c r="C156" s="4" t="s">
        <v>38</v>
      </c>
      <c r="D156" s="4">
        <v>136.80000000000001</v>
      </c>
      <c r="E156" s="4">
        <v>143.80000000000001</v>
      </c>
      <c r="F156" s="4">
        <v>140</v>
      </c>
      <c r="G156" s="4">
        <v>142</v>
      </c>
      <c r="H156" s="4">
        <v>123.2</v>
      </c>
      <c r="I156" s="4">
        <v>152.9</v>
      </c>
      <c r="J156" s="4">
        <v>138</v>
      </c>
      <c r="K156" s="4">
        <v>129.30000000000001</v>
      </c>
      <c r="L156" s="4">
        <v>117.1</v>
      </c>
      <c r="M156" s="4">
        <v>136.30000000000001</v>
      </c>
      <c r="N156" s="4">
        <v>131.19999999999999</v>
      </c>
      <c r="O156" s="4">
        <v>152.80000000000001</v>
      </c>
      <c r="P156" s="4">
        <v>138.6</v>
      </c>
      <c r="Q156" s="4">
        <v>155.1</v>
      </c>
      <c r="R156" s="4">
        <v>149.19999999999999</v>
      </c>
      <c r="S156" s="4">
        <v>143</v>
      </c>
      <c r="T156" s="4">
        <v>148.30000000000001</v>
      </c>
      <c r="U156" s="4"/>
      <c r="V156" s="4">
        <v>142.6</v>
      </c>
      <c r="W156" s="4">
        <v>139.9</v>
      </c>
      <c r="X156" s="4">
        <v>124.6</v>
      </c>
      <c r="Y156" s="4">
        <v>135.1</v>
      </c>
      <c r="Z156" s="4">
        <v>142.69999999999999</v>
      </c>
      <c r="AA156" s="4">
        <v>129.30000000000001</v>
      </c>
      <c r="AB156" s="4">
        <v>136.69999999999999</v>
      </c>
    </row>
    <row r="157" spans="1:28" x14ac:dyDescent="0.3">
      <c r="A157" s="11" t="s">
        <v>30</v>
      </c>
      <c r="B157" s="3">
        <v>2019</v>
      </c>
      <c r="C157" s="3" t="s">
        <v>38</v>
      </c>
      <c r="D157" s="3">
        <v>136.9</v>
      </c>
      <c r="E157" s="3">
        <v>154.1</v>
      </c>
      <c r="F157" s="3">
        <v>138.69999999999999</v>
      </c>
      <c r="G157" s="3">
        <v>142.5</v>
      </c>
      <c r="H157" s="3">
        <v>124.1</v>
      </c>
      <c r="I157" s="3">
        <v>136.1</v>
      </c>
      <c r="J157" s="3">
        <v>128.19999999999999</v>
      </c>
      <c r="K157" s="3">
        <v>122.3</v>
      </c>
      <c r="L157" s="3">
        <v>108.3</v>
      </c>
      <c r="M157" s="3">
        <v>138.9</v>
      </c>
      <c r="N157" s="3">
        <v>137.4</v>
      </c>
      <c r="O157" s="3">
        <v>156.4</v>
      </c>
      <c r="P157" s="3">
        <v>137.30000000000001</v>
      </c>
      <c r="Q157" s="3">
        <v>162.9</v>
      </c>
      <c r="R157" s="3">
        <v>150.80000000000001</v>
      </c>
      <c r="S157" s="3">
        <v>146.1</v>
      </c>
      <c r="T157" s="3">
        <v>150.1</v>
      </c>
      <c r="U157" s="3"/>
      <c r="V157" s="3">
        <v>146.4</v>
      </c>
      <c r="W157" s="3">
        <v>150</v>
      </c>
      <c r="X157" s="3">
        <v>129.9</v>
      </c>
      <c r="Y157" s="3">
        <v>143.80000000000001</v>
      </c>
      <c r="Z157" s="3">
        <v>155.5</v>
      </c>
      <c r="AA157" s="3">
        <v>134</v>
      </c>
      <c r="AB157" s="3">
        <v>150.4</v>
      </c>
    </row>
    <row r="158" spans="1:28" x14ac:dyDescent="0.3">
      <c r="A158" s="12" t="s">
        <v>30</v>
      </c>
      <c r="B158" s="4">
        <v>2020</v>
      </c>
      <c r="C158" s="4" t="s">
        <v>38</v>
      </c>
      <c r="D158" s="4">
        <v>144.4</v>
      </c>
      <c r="E158" s="4">
        <v>166.8</v>
      </c>
      <c r="F158" s="4">
        <v>147.6</v>
      </c>
      <c r="G158" s="4">
        <v>151.69999999999999</v>
      </c>
      <c r="H158" s="4">
        <v>133.30000000000001</v>
      </c>
      <c r="I158" s="4">
        <v>141.80000000000001</v>
      </c>
      <c r="J158" s="4">
        <v>152.30000000000001</v>
      </c>
      <c r="K158" s="4">
        <v>141.80000000000001</v>
      </c>
      <c r="L158" s="4">
        <v>112.6</v>
      </c>
      <c r="M158" s="4">
        <v>154</v>
      </c>
      <c r="N158" s="4">
        <v>140.1</v>
      </c>
      <c r="O158" s="4">
        <v>160</v>
      </c>
      <c r="P158" s="4">
        <v>148.19999999999999</v>
      </c>
      <c r="Q158" s="4">
        <v>170.5</v>
      </c>
      <c r="R158" s="4">
        <v>153.4</v>
      </c>
      <c r="S158" s="4">
        <v>147.6</v>
      </c>
      <c r="T158" s="4">
        <v>152.5</v>
      </c>
      <c r="U158" s="4"/>
      <c r="V158" s="4">
        <v>153.4</v>
      </c>
      <c r="W158" s="4">
        <v>151.5</v>
      </c>
      <c r="X158" s="4">
        <v>135.80000000000001</v>
      </c>
      <c r="Y158" s="4">
        <v>151.19999999999999</v>
      </c>
      <c r="Z158" s="4">
        <v>161.19999999999999</v>
      </c>
      <c r="AA158" s="4">
        <v>145.1</v>
      </c>
      <c r="AB158" s="4">
        <v>156.69999999999999</v>
      </c>
    </row>
    <row r="159" spans="1:28" x14ac:dyDescent="0.3">
      <c r="A159" s="11" t="s">
        <v>30</v>
      </c>
      <c r="B159" s="4">
        <v>2021</v>
      </c>
      <c r="C159" s="4" t="s">
        <v>38</v>
      </c>
      <c r="D159" s="3">
        <v>142.5</v>
      </c>
      <c r="E159" s="3">
        <v>189.4</v>
      </c>
      <c r="F159" s="3">
        <v>163.19999999999999</v>
      </c>
      <c r="G159" s="3">
        <v>154.5</v>
      </c>
      <c r="H159" s="3">
        <v>168.2</v>
      </c>
      <c r="I159" s="3">
        <v>150.5</v>
      </c>
      <c r="J159" s="3">
        <v>141</v>
      </c>
      <c r="K159" s="3">
        <v>159.19999999999999</v>
      </c>
      <c r="L159" s="3">
        <v>111.7</v>
      </c>
      <c r="M159" s="3">
        <v>164</v>
      </c>
      <c r="N159" s="3">
        <v>160.6</v>
      </c>
      <c r="O159" s="3">
        <v>166.4</v>
      </c>
      <c r="P159" s="3">
        <v>154.5</v>
      </c>
      <c r="Q159" s="3">
        <v>186.1</v>
      </c>
      <c r="R159" s="3">
        <v>159.6</v>
      </c>
      <c r="S159" s="3">
        <v>154.4</v>
      </c>
      <c r="T159" s="3">
        <v>158.9</v>
      </c>
      <c r="U159" s="3"/>
      <c r="V159" s="3">
        <v>156</v>
      </c>
      <c r="W159" s="3">
        <v>154.80000000000001</v>
      </c>
      <c r="X159" s="3">
        <v>151.30000000000001</v>
      </c>
      <c r="Y159" s="3">
        <v>157.80000000000001</v>
      </c>
      <c r="Z159" s="3">
        <v>163.80000000000001</v>
      </c>
      <c r="AA159" s="3">
        <v>153.1</v>
      </c>
      <c r="AB159" s="3">
        <v>164.6</v>
      </c>
    </row>
    <row r="160" spans="1:28" x14ac:dyDescent="0.3">
      <c r="A160" s="12" t="s">
        <v>30</v>
      </c>
      <c r="B160" s="3">
        <v>2022</v>
      </c>
      <c r="C160" s="3" t="s">
        <v>38</v>
      </c>
      <c r="D160" s="4">
        <v>150.19999999999999</v>
      </c>
      <c r="E160" s="4">
        <v>208</v>
      </c>
      <c r="F160" s="4">
        <v>167.9</v>
      </c>
      <c r="G160" s="4">
        <v>162</v>
      </c>
      <c r="H160" s="4">
        <v>203.1</v>
      </c>
      <c r="I160" s="4">
        <v>155.9</v>
      </c>
      <c r="J160" s="4">
        <v>155.80000000000001</v>
      </c>
      <c r="K160" s="4">
        <v>164.2</v>
      </c>
      <c r="L160" s="4">
        <v>118.1</v>
      </c>
      <c r="M160" s="4">
        <v>178.7</v>
      </c>
      <c r="N160" s="4">
        <v>171.2</v>
      </c>
      <c r="O160" s="4">
        <v>177.4</v>
      </c>
      <c r="P160" s="4">
        <v>166.6</v>
      </c>
      <c r="Q160" s="4">
        <v>192.3</v>
      </c>
      <c r="R160" s="4">
        <v>175.4</v>
      </c>
      <c r="S160" s="4">
        <v>173.2</v>
      </c>
      <c r="T160" s="4">
        <v>175.1</v>
      </c>
      <c r="U160" s="4"/>
      <c r="V160" s="4">
        <v>168.9</v>
      </c>
      <c r="W160" s="4">
        <v>166.5</v>
      </c>
      <c r="X160" s="4">
        <v>162</v>
      </c>
      <c r="Y160" s="4">
        <v>166.6</v>
      </c>
      <c r="Z160" s="4">
        <v>170.6</v>
      </c>
      <c r="AA160" s="4">
        <v>167.4</v>
      </c>
      <c r="AB160" s="4">
        <v>176</v>
      </c>
    </row>
    <row r="161" spans="1:28" x14ac:dyDescent="0.3">
      <c r="A161" s="12" t="s">
        <v>30</v>
      </c>
      <c r="B161" s="4">
        <v>2023</v>
      </c>
      <c r="C161" s="4" t="s">
        <v>38</v>
      </c>
      <c r="D161" s="3">
        <v>174.3</v>
      </c>
      <c r="E161" s="3">
        <v>205.2</v>
      </c>
      <c r="F161" s="3">
        <v>173.9</v>
      </c>
      <c r="G161" s="3">
        <v>177</v>
      </c>
      <c r="H161" s="3">
        <v>183.3</v>
      </c>
      <c r="I161" s="3">
        <v>167.2</v>
      </c>
      <c r="J161" s="3">
        <v>140.9</v>
      </c>
      <c r="K161" s="3">
        <v>170.5</v>
      </c>
      <c r="L161" s="3">
        <v>119.1</v>
      </c>
      <c r="M161" s="3">
        <v>212.1</v>
      </c>
      <c r="N161" s="3">
        <v>177.6</v>
      </c>
      <c r="O161" s="3">
        <v>189.9</v>
      </c>
      <c r="P161" s="3">
        <v>174.8</v>
      </c>
      <c r="Q161" s="3">
        <v>198.4</v>
      </c>
      <c r="R161" s="3">
        <v>190</v>
      </c>
      <c r="S161" s="3">
        <v>187</v>
      </c>
      <c r="T161" s="3">
        <v>189.6</v>
      </c>
      <c r="U161" s="3"/>
      <c r="V161" s="3">
        <v>181.4</v>
      </c>
      <c r="W161" s="3">
        <v>178.6</v>
      </c>
      <c r="X161" s="3">
        <v>169</v>
      </c>
      <c r="Y161" s="3">
        <v>172.8</v>
      </c>
      <c r="Z161" s="3">
        <v>178.5</v>
      </c>
      <c r="AA161" s="3">
        <v>180.7</v>
      </c>
      <c r="AB161" s="3">
        <v>186.6</v>
      </c>
    </row>
    <row r="162" spans="1:28" ht="21" x14ac:dyDescent="0.4">
      <c r="E162" s="81" t="s">
        <v>35</v>
      </c>
      <c r="F162" s="81"/>
    </row>
    <row r="163" spans="1:28" x14ac:dyDescent="0.3">
      <c r="A163" t="s">
        <v>171</v>
      </c>
      <c r="B163" t="s">
        <v>172</v>
      </c>
      <c r="C163" t="s">
        <v>173</v>
      </c>
      <c r="D163" s="2" t="s">
        <v>203</v>
      </c>
      <c r="E163" s="2" t="s">
        <v>203</v>
      </c>
      <c r="F163" s="2" t="s">
        <v>203</v>
      </c>
      <c r="G163" s="2" t="s">
        <v>203</v>
      </c>
      <c r="H163" s="2" t="s">
        <v>203</v>
      </c>
      <c r="I163" s="2" t="s">
        <v>203</v>
      </c>
      <c r="J163" s="2" t="s">
        <v>203</v>
      </c>
      <c r="K163" s="2" t="s">
        <v>203</v>
      </c>
      <c r="L163" s="2" t="s">
        <v>203</v>
      </c>
      <c r="M163" s="2" t="s">
        <v>203</v>
      </c>
      <c r="N163" s="2" t="s">
        <v>203</v>
      </c>
      <c r="O163" s="2" t="s">
        <v>203</v>
      </c>
      <c r="P163" s="2" t="s">
        <v>203</v>
      </c>
      <c r="Q163" s="2" t="s">
        <v>203</v>
      </c>
      <c r="R163" s="2" t="s">
        <v>204</v>
      </c>
      <c r="S163" s="2" t="s">
        <v>204</v>
      </c>
      <c r="T163" s="2" t="s">
        <v>204</v>
      </c>
      <c r="U163" s="2" t="s">
        <v>204</v>
      </c>
      <c r="V163" s="2" t="s">
        <v>204</v>
      </c>
      <c r="W163" s="2" t="s">
        <v>204</v>
      </c>
      <c r="X163" s="2" t="s">
        <v>204</v>
      </c>
      <c r="Y163" s="2" t="s">
        <v>204</v>
      </c>
      <c r="Z163" s="2" t="s">
        <v>204</v>
      </c>
      <c r="AA163" s="2" t="s">
        <v>204</v>
      </c>
      <c r="AB163" s="2" t="s">
        <v>23</v>
      </c>
    </row>
    <row r="164" spans="1:28" x14ac:dyDescent="0.3">
      <c r="A164" s="1" t="s">
        <v>0</v>
      </c>
      <c r="B164" s="2" t="s">
        <v>1</v>
      </c>
      <c r="C164" s="2" t="s">
        <v>2</v>
      </c>
      <c r="D164" s="2" t="s">
        <v>3</v>
      </c>
      <c r="E164" s="2" t="s">
        <v>4</v>
      </c>
      <c r="F164" s="2" t="s">
        <v>5</v>
      </c>
      <c r="G164" s="2" t="s">
        <v>6</v>
      </c>
      <c r="H164" s="2" t="s">
        <v>7</v>
      </c>
      <c r="I164" s="2" t="s">
        <v>8</v>
      </c>
      <c r="J164" s="2" t="s">
        <v>9</v>
      </c>
      <c r="K164" s="2" t="s">
        <v>10</v>
      </c>
      <c r="L164" s="2" t="s">
        <v>11</v>
      </c>
      <c r="M164" s="2" t="s">
        <v>12</v>
      </c>
      <c r="N164" s="2" t="s">
        <v>13</v>
      </c>
      <c r="O164" s="2" t="s">
        <v>14</v>
      </c>
      <c r="P164" s="2" t="s">
        <v>15</v>
      </c>
      <c r="Q164" s="2" t="s">
        <v>16</v>
      </c>
      <c r="R164" s="2" t="s">
        <v>17</v>
      </c>
      <c r="S164" s="2" t="s">
        <v>18</v>
      </c>
      <c r="T164" s="2" t="s">
        <v>19</v>
      </c>
      <c r="U164" s="2" t="s">
        <v>20</v>
      </c>
      <c r="V164" s="2" t="s">
        <v>21</v>
      </c>
      <c r="W164" s="2" t="s">
        <v>22</v>
      </c>
      <c r="X164" s="2" t="s">
        <v>24</v>
      </c>
      <c r="Y164" s="2" t="s">
        <v>25</v>
      </c>
      <c r="Z164" s="2" t="s">
        <v>26</v>
      </c>
      <c r="AA164" s="2" t="s">
        <v>27</v>
      </c>
      <c r="AB164" s="2" t="s">
        <v>23</v>
      </c>
    </row>
    <row r="165" spans="1:28" x14ac:dyDescent="0.3">
      <c r="A165" s="11" t="s">
        <v>35</v>
      </c>
      <c r="B165" s="3">
        <v>2017</v>
      </c>
      <c r="C165" s="3" t="s">
        <v>38</v>
      </c>
      <c r="D165" s="3">
        <v>133.30000000000001</v>
      </c>
      <c r="E165" s="3">
        <v>139</v>
      </c>
      <c r="F165" s="3">
        <v>128.6</v>
      </c>
      <c r="G165" s="3">
        <v>136.30000000000001</v>
      </c>
      <c r="H165" s="3">
        <v>118.8</v>
      </c>
      <c r="I165" s="3">
        <v>138.30000000000001</v>
      </c>
      <c r="J165" s="3">
        <v>120.5</v>
      </c>
      <c r="K165" s="3">
        <v>143.9</v>
      </c>
      <c r="L165" s="3">
        <v>118</v>
      </c>
      <c r="M165" s="3">
        <v>137.9</v>
      </c>
      <c r="N165" s="3">
        <v>127.2</v>
      </c>
      <c r="O165" s="3">
        <v>144</v>
      </c>
      <c r="P165" s="3">
        <v>133.1</v>
      </c>
      <c r="Q165" s="3">
        <v>145.1</v>
      </c>
      <c r="R165" s="3">
        <v>137.30000000000001</v>
      </c>
      <c r="S165" s="3">
        <v>130.6</v>
      </c>
      <c r="T165" s="3">
        <v>136.4</v>
      </c>
      <c r="U165" s="3">
        <v>131.1</v>
      </c>
      <c r="V165" s="3">
        <v>129.1</v>
      </c>
      <c r="W165" s="3">
        <v>130.1</v>
      </c>
      <c r="X165" s="3">
        <v>117.6</v>
      </c>
      <c r="Y165" s="3">
        <v>125</v>
      </c>
      <c r="Z165" s="3">
        <v>133.80000000000001</v>
      </c>
      <c r="AA165" s="3">
        <v>122.6</v>
      </c>
      <c r="AB165" s="3">
        <v>127.8</v>
      </c>
    </row>
    <row r="166" spans="1:28" x14ac:dyDescent="0.3">
      <c r="A166" s="12" t="s">
        <v>35</v>
      </c>
      <c r="B166" s="4">
        <v>2018</v>
      </c>
      <c r="C166" s="4" t="s">
        <v>38</v>
      </c>
      <c r="D166" s="4">
        <v>136.19999999999999</v>
      </c>
      <c r="E166" s="4">
        <v>143.6</v>
      </c>
      <c r="F166" s="4">
        <v>138.30000000000001</v>
      </c>
      <c r="G166" s="4">
        <v>141.19999999999999</v>
      </c>
      <c r="H166" s="4">
        <v>120.7</v>
      </c>
      <c r="I166" s="4">
        <v>146.19999999999999</v>
      </c>
      <c r="J166" s="4">
        <v>134.6</v>
      </c>
      <c r="K166" s="4">
        <v>124.6</v>
      </c>
      <c r="L166" s="4">
        <v>116.1</v>
      </c>
      <c r="M166" s="4">
        <v>137.80000000000001</v>
      </c>
      <c r="N166" s="4">
        <v>129.1</v>
      </c>
      <c r="O166" s="4">
        <v>150.4</v>
      </c>
      <c r="P166" s="4">
        <v>137.19999999999999</v>
      </c>
      <c r="Q166" s="4">
        <v>156.30000000000001</v>
      </c>
      <c r="R166" s="4">
        <v>144.30000000000001</v>
      </c>
      <c r="S166" s="4">
        <v>136.19999999999999</v>
      </c>
      <c r="T166" s="4">
        <v>143.1</v>
      </c>
      <c r="U166" s="4">
        <v>142</v>
      </c>
      <c r="V166" s="4">
        <v>136.5</v>
      </c>
      <c r="W166" s="4">
        <v>135.6</v>
      </c>
      <c r="X166" s="4">
        <v>121</v>
      </c>
      <c r="Y166" s="4">
        <v>130.4</v>
      </c>
      <c r="Z166" s="4">
        <v>139.80000000000001</v>
      </c>
      <c r="AA166" s="4">
        <v>128.19999999999999</v>
      </c>
      <c r="AB166" s="4">
        <v>134.30000000000001</v>
      </c>
    </row>
    <row r="167" spans="1:28" x14ac:dyDescent="0.3">
      <c r="A167" s="11" t="s">
        <v>35</v>
      </c>
      <c r="B167" s="3">
        <v>2019</v>
      </c>
      <c r="C167" s="3" t="s">
        <v>38</v>
      </c>
      <c r="D167" s="3">
        <v>137.80000000000001</v>
      </c>
      <c r="E167" s="3">
        <v>153</v>
      </c>
      <c r="F167" s="3">
        <v>140.30000000000001</v>
      </c>
      <c r="G167" s="3">
        <v>142.30000000000001</v>
      </c>
      <c r="H167" s="3">
        <v>122</v>
      </c>
      <c r="I167" s="3">
        <v>137.6</v>
      </c>
      <c r="J167" s="3">
        <v>132.6</v>
      </c>
      <c r="K167" s="3">
        <v>121.8</v>
      </c>
      <c r="L167" s="3">
        <v>109</v>
      </c>
      <c r="M167" s="3">
        <v>139.5</v>
      </c>
      <c r="N167" s="3">
        <v>133.69999999999999</v>
      </c>
      <c r="O167" s="3">
        <v>155.19999999999999</v>
      </c>
      <c r="P167" s="3">
        <v>138.1</v>
      </c>
      <c r="Q167" s="3">
        <v>163.5</v>
      </c>
      <c r="R167" s="3">
        <v>147.9</v>
      </c>
      <c r="S167" s="3">
        <v>139.9</v>
      </c>
      <c r="T167" s="3">
        <v>146.69999999999999</v>
      </c>
      <c r="U167" s="3">
        <v>149</v>
      </c>
      <c r="V167" s="3">
        <v>139.69999999999999</v>
      </c>
      <c r="W167" s="3">
        <v>143.80000000000001</v>
      </c>
      <c r="X167" s="3">
        <v>124.6</v>
      </c>
      <c r="Y167" s="3">
        <v>137.69999999999999</v>
      </c>
      <c r="Z167" s="3">
        <v>150.30000000000001</v>
      </c>
      <c r="AA167" s="3">
        <v>133.4</v>
      </c>
      <c r="AB167" s="3">
        <v>146.19999999999999</v>
      </c>
    </row>
    <row r="168" spans="1:28" x14ac:dyDescent="0.3">
      <c r="A168" s="12" t="s">
        <v>35</v>
      </c>
      <c r="B168" s="4">
        <v>2020</v>
      </c>
      <c r="C168" s="4" t="s">
        <v>38</v>
      </c>
      <c r="D168" s="4">
        <v>145.1</v>
      </c>
      <c r="E168" s="4">
        <v>167</v>
      </c>
      <c r="F168" s="4">
        <v>148.1</v>
      </c>
      <c r="G168" s="4">
        <v>151.5</v>
      </c>
      <c r="H168" s="4">
        <v>131.19999999999999</v>
      </c>
      <c r="I168" s="4">
        <v>142.5</v>
      </c>
      <c r="J168" s="4">
        <v>157.30000000000001</v>
      </c>
      <c r="K168" s="4">
        <v>141.1</v>
      </c>
      <c r="L168" s="4">
        <v>113.2</v>
      </c>
      <c r="M168" s="4">
        <v>153.19999999999999</v>
      </c>
      <c r="N168" s="4">
        <v>136.69999999999999</v>
      </c>
      <c r="O168" s="4">
        <v>159.6</v>
      </c>
      <c r="P168" s="4">
        <v>148.9</v>
      </c>
      <c r="Q168" s="4">
        <v>171.2</v>
      </c>
      <c r="R168" s="4">
        <v>151.19999999999999</v>
      </c>
      <c r="S168" s="4">
        <v>141.9</v>
      </c>
      <c r="T168" s="4">
        <v>149.80000000000001</v>
      </c>
      <c r="U168" s="4">
        <v>154.5</v>
      </c>
      <c r="V168" s="4">
        <v>148.9</v>
      </c>
      <c r="W168" s="4">
        <v>146.4</v>
      </c>
      <c r="X168" s="4">
        <v>129.9</v>
      </c>
      <c r="Y168" s="4">
        <v>143.69999999999999</v>
      </c>
      <c r="Z168" s="4">
        <v>156.1</v>
      </c>
      <c r="AA168" s="4">
        <v>145.19999999999999</v>
      </c>
      <c r="AB168" s="4">
        <v>152.30000000000001</v>
      </c>
    </row>
    <row r="169" spans="1:28" x14ac:dyDescent="0.3">
      <c r="A169" s="11" t="s">
        <v>35</v>
      </c>
      <c r="B169" s="4">
        <v>2021</v>
      </c>
      <c r="C169" s="4" t="s">
        <v>38</v>
      </c>
      <c r="D169" s="3">
        <v>144.1</v>
      </c>
      <c r="E169" s="3">
        <v>192.2</v>
      </c>
      <c r="F169" s="3">
        <v>163.80000000000001</v>
      </c>
      <c r="G169" s="3">
        <v>154.9</v>
      </c>
      <c r="H169" s="3">
        <v>163.9</v>
      </c>
      <c r="I169" s="3">
        <v>153.69999999999999</v>
      </c>
      <c r="J169" s="3">
        <v>149.5</v>
      </c>
      <c r="K169" s="3">
        <v>159.80000000000001</v>
      </c>
      <c r="L169" s="3">
        <v>112.6</v>
      </c>
      <c r="M169" s="3">
        <v>163.5</v>
      </c>
      <c r="N169" s="3">
        <v>156.5</v>
      </c>
      <c r="O169" s="3">
        <v>168.2</v>
      </c>
      <c r="P169" s="3">
        <v>156.69999999999999</v>
      </c>
      <c r="Q169" s="3">
        <v>188.1</v>
      </c>
      <c r="R169" s="3">
        <v>157.80000000000001</v>
      </c>
      <c r="S169" s="3">
        <v>147.9</v>
      </c>
      <c r="T169" s="3">
        <v>156.4</v>
      </c>
      <c r="U169" s="3">
        <v>159.9</v>
      </c>
      <c r="V169" s="3">
        <v>155.5</v>
      </c>
      <c r="W169" s="3">
        <v>151.19999999999999</v>
      </c>
      <c r="X169" s="3">
        <v>146.19999999999999</v>
      </c>
      <c r="Y169" s="3">
        <v>152.6</v>
      </c>
      <c r="Z169" s="3">
        <v>160.19999999999999</v>
      </c>
      <c r="AA169" s="3">
        <v>153.80000000000001</v>
      </c>
      <c r="AB169" s="3">
        <v>161.69999999999999</v>
      </c>
    </row>
    <row r="170" spans="1:28" x14ac:dyDescent="0.3">
      <c r="A170" s="12" t="s">
        <v>35</v>
      </c>
      <c r="B170" s="3">
        <v>2022</v>
      </c>
      <c r="C170" s="3" t="s">
        <v>38</v>
      </c>
      <c r="D170" s="4">
        <v>151.30000000000001</v>
      </c>
      <c r="E170" s="4">
        <v>210.7</v>
      </c>
      <c r="F170" s="4">
        <v>167.8</v>
      </c>
      <c r="G170" s="4">
        <v>162.19999999999999</v>
      </c>
      <c r="H170" s="4">
        <v>194.6</v>
      </c>
      <c r="I170" s="4">
        <v>157.6</v>
      </c>
      <c r="J170" s="4">
        <v>166.9</v>
      </c>
      <c r="K170" s="4">
        <v>163.9</v>
      </c>
      <c r="L170" s="4">
        <v>118.8</v>
      </c>
      <c r="M170" s="4">
        <v>177.4</v>
      </c>
      <c r="N170" s="4">
        <v>165.3</v>
      </c>
      <c r="O170" s="4">
        <v>179.3</v>
      </c>
      <c r="P170" s="4">
        <v>168.4</v>
      </c>
      <c r="Q170" s="4">
        <v>193.7</v>
      </c>
      <c r="R170" s="4">
        <v>172.1</v>
      </c>
      <c r="S170" s="4">
        <v>164.6</v>
      </c>
      <c r="T170" s="4">
        <v>171.1</v>
      </c>
      <c r="U170" s="4">
        <v>165.3</v>
      </c>
      <c r="V170" s="4">
        <v>167.2</v>
      </c>
      <c r="W170" s="4">
        <v>162.80000000000001</v>
      </c>
      <c r="X170" s="4">
        <v>157.9</v>
      </c>
      <c r="Y170" s="4">
        <v>163.30000000000001</v>
      </c>
      <c r="Z170" s="4">
        <v>166</v>
      </c>
      <c r="AA170" s="4">
        <v>167.2</v>
      </c>
      <c r="AB170" s="4">
        <v>173</v>
      </c>
    </row>
    <row r="171" spans="1:28" x14ac:dyDescent="0.3">
      <c r="A171" s="12" t="s">
        <v>35</v>
      </c>
      <c r="B171" s="4">
        <v>2023</v>
      </c>
      <c r="C171" s="4" t="s">
        <v>38</v>
      </c>
      <c r="D171" s="3">
        <v>174.4</v>
      </c>
      <c r="E171" s="3">
        <v>207.7</v>
      </c>
      <c r="F171" s="3">
        <v>175.2</v>
      </c>
      <c r="G171" s="3">
        <v>177.3</v>
      </c>
      <c r="H171" s="3">
        <v>179.2</v>
      </c>
      <c r="I171" s="3">
        <v>169.5</v>
      </c>
      <c r="J171" s="3">
        <v>152.80000000000001</v>
      </c>
      <c r="K171" s="3">
        <v>171.1</v>
      </c>
      <c r="L171" s="3">
        <v>120</v>
      </c>
      <c r="M171" s="3">
        <v>209.7</v>
      </c>
      <c r="N171" s="3">
        <v>172.3</v>
      </c>
      <c r="O171" s="3">
        <v>193</v>
      </c>
      <c r="P171" s="3">
        <v>177</v>
      </c>
      <c r="Q171" s="3">
        <v>199.5</v>
      </c>
      <c r="R171" s="3">
        <v>186.1</v>
      </c>
      <c r="S171" s="3">
        <v>178.7</v>
      </c>
      <c r="T171" s="3">
        <v>185.1</v>
      </c>
      <c r="U171" s="3">
        <v>173.5</v>
      </c>
      <c r="V171" s="3">
        <v>181.9</v>
      </c>
      <c r="W171" s="3">
        <v>174.2</v>
      </c>
      <c r="X171" s="3">
        <v>164.2</v>
      </c>
      <c r="Y171" s="3">
        <v>170.3</v>
      </c>
      <c r="Z171" s="3">
        <v>175</v>
      </c>
      <c r="AA171" s="3">
        <v>181</v>
      </c>
      <c r="AB171" s="3">
        <v>184.4</v>
      </c>
    </row>
    <row r="173" spans="1:28" x14ac:dyDescent="0.3">
      <c r="A173" s="1" t="s">
        <v>0</v>
      </c>
      <c r="B173" s="2" t="s">
        <v>1</v>
      </c>
      <c r="C173" s="2" t="s">
        <v>2</v>
      </c>
      <c r="E173" t="s">
        <v>195</v>
      </c>
      <c r="F173" t="s">
        <v>229</v>
      </c>
      <c r="G173" t="s">
        <v>196</v>
      </c>
      <c r="H173" t="s">
        <v>230</v>
      </c>
      <c r="I173" t="s">
        <v>197</v>
      </c>
      <c r="J173" t="s">
        <v>230</v>
      </c>
    </row>
    <row r="174" spans="1:28" x14ac:dyDescent="0.3">
      <c r="A174" s="11" t="s">
        <v>35</v>
      </c>
      <c r="B174" s="3" t="s">
        <v>226</v>
      </c>
      <c r="C174" s="3">
        <v>2017</v>
      </c>
      <c r="D174" s="3" t="s">
        <v>38</v>
      </c>
      <c r="E174">
        <v>1864</v>
      </c>
      <c r="G174" s="3">
        <v>127.8</v>
      </c>
      <c r="H174" s="23"/>
      <c r="I174">
        <v>1293.5999999999999</v>
      </c>
      <c r="J174" s="3"/>
    </row>
    <row r="175" spans="1:28" x14ac:dyDescent="0.3">
      <c r="A175" s="12" t="s">
        <v>35</v>
      </c>
      <c r="B175" s="3" t="s">
        <v>226</v>
      </c>
      <c r="C175" s="4">
        <v>2018</v>
      </c>
      <c r="D175" s="4" t="s">
        <v>38</v>
      </c>
      <c r="E175">
        <v>1912.3</v>
      </c>
      <c r="F175" s="22">
        <v>2.5912017167381951E-2</v>
      </c>
      <c r="G175" s="4">
        <v>134.30000000000001</v>
      </c>
      <c r="H175" s="22">
        <v>5.0860719874804491E-2</v>
      </c>
      <c r="I175">
        <v>1357.1000000000001</v>
      </c>
      <c r="J175" s="22">
        <v>4.9087816944959985E-2</v>
      </c>
    </row>
    <row r="176" spans="1:28" x14ac:dyDescent="0.3">
      <c r="A176" s="11" t="s">
        <v>35</v>
      </c>
      <c r="B176" s="3" t="s">
        <v>226</v>
      </c>
      <c r="C176" s="3">
        <v>2019</v>
      </c>
      <c r="D176" s="3" t="s">
        <v>38</v>
      </c>
      <c r="E176">
        <v>1926.4</v>
      </c>
      <c r="F176" s="22">
        <v>7.3733200857606738E-3</v>
      </c>
      <c r="G176" s="3">
        <v>146.19999999999999</v>
      </c>
      <c r="H176" s="22">
        <v>8.8607594936708681E-2</v>
      </c>
      <c r="I176">
        <v>1413</v>
      </c>
      <c r="J176" s="22">
        <v>4.1190774445508699E-2</v>
      </c>
    </row>
    <row r="177" spans="1:28" x14ac:dyDescent="0.3">
      <c r="A177" s="11" t="s">
        <v>35</v>
      </c>
      <c r="B177" s="4" t="s">
        <v>227</v>
      </c>
      <c r="C177" s="4">
        <v>2020</v>
      </c>
      <c r="D177" s="4" t="s">
        <v>38</v>
      </c>
      <c r="E177">
        <v>2066.6</v>
      </c>
      <c r="F177" s="22">
        <v>7.2778239202657705E-2</v>
      </c>
      <c r="G177" s="4">
        <v>152.30000000000001</v>
      </c>
      <c r="H177" s="22">
        <v>4.1723666210670474E-2</v>
      </c>
      <c r="I177">
        <v>1467.6</v>
      </c>
      <c r="J177" s="22">
        <v>3.8641188959660233E-2</v>
      </c>
    </row>
    <row r="178" spans="1:28" x14ac:dyDescent="0.3">
      <c r="A178" s="12" t="s">
        <v>35</v>
      </c>
      <c r="B178" s="4" t="s">
        <v>228</v>
      </c>
      <c r="C178" s="4">
        <v>2021</v>
      </c>
      <c r="D178" s="4" t="s">
        <v>38</v>
      </c>
      <c r="E178">
        <v>2227.5</v>
      </c>
      <c r="F178" s="22">
        <v>7.7857350237104467E-2</v>
      </c>
      <c r="G178" s="3">
        <v>161.69999999999999</v>
      </c>
      <c r="H178" s="22">
        <v>6.1720288903479817E-2</v>
      </c>
      <c r="I178">
        <v>1541.5</v>
      </c>
      <c r="J178" s="22">
        <v>5.0354319978195762E-2</v>
      </c>
    </row>
    <row r="179" spans="1:28" x14ac:dyDescent="0.3">
      <c r="A179" s="11" t="s">
        <v>35</v>
      </c>
      <c r="B179" s="4" t="s">
        <v>228</v>
      </c>
      <c r="C179" s="3">
        <v>2022</v>
      </c>
      <c r="D179" s="3" t="s">
        <v>38</v>
      </c>
      <c r="E179">
        <v>2377.9</v>
      </c>
      <c r="F179" s="22">
        <v>6.7519640852974225E-2</v>
      </c>
      <c r="G179" s="4">
        <v>173</v>
      </c>
      <c r="H179" s="22">
        <v>6.9882498453927105E-2</v>
      </c>
      <c r="I179">
        <v>1657.5</v>
      </c>
      <c r="J179" s="22">
        <v>7.5251378527408375E-2</v>
      </c>
    </row>
    <row r="180" spans="1:28" x14ac:dyDescent="0.3">
      <c r="A180" s="12" t="s">
        <v>35</v>
      </c>
      <c r="B180" s="4" t="s">
        <v>228</v>
      </c>
      <c r="C180" s="4">
        <v>2023</v>
      </c>
      <c r="D180" s="4" t="s">
        <v>38</v>
      </c>
      <c r="E180">
        <v>2478.6999999999998</v>
      </c>
      <c r="G180" s="3">
        <v>184.4</v>
      </c>
      <c r="H180" s="23"/>
      <c r="I180">
        <v>1770</v>
      </c>
      <c r="J180" s="3"/>
    </row>
    <row r="182" spans="1:28" ht="21" x14ac:dyDescent="0.4">
      <c r="E182" s="81" t="s">
        <v>33</v>
      </c>
      <c r="F182" s="81"/>
    </row>
    <row r="183" spans="1:28" x14ac:dyDescent="0.3">
      <c r="A183" t="s">
        <v>171</v>
      </c>
      <c r="B183" t="s">
        <v>172</v>
      </c>
      <c r="C183" t="s">
        <v>173</v>
      </c>
      <c r="D183" s="2" t="s">
        <v>203</v>
      </c>
      <c r="E183" s="2" t="s">
        <v>203</v>
      </c>
      <c r="F183" s="2" t="s">
        <v>203</v>
      </c>
      <c r="G183" s="2" t="s">
        <v>203</v>
      </c>
      <c r="H183" s="2" t="s">
        <v>203</v>
      </c>
      <c r="I183" s="2" t="s">
        <v>203</v>
      </c>
      <c r="J183" s="2" t="s">
        <v>203</v>
      </c>
      <c r="K183" s="2" t="s">
        <v>203</v>
      </c>
      <c r="L183" s="2" t="s">
        <v>203</v>
      </c>
      <c r="M183" s="2" t="s">
        <v>203</v>
      </c>
      <c r="N183" s="2" t="s">
        <v>203</v>
      </c>
      <c r="O183" s="2" t="s">
        <v>203</v>
      </c>
      <c r="P183" s="2" t="s">
        <v>203</v>
      </c>
      <c r="Q183" s="2" t="s">
        <v>203</v>
      </c>
      <c r="R183" s="2" t="s">
        <v>204</v>
      </c>
      <c r="S183" s="2" t="s">
        <v>204</v>
      </c>
      <c r="T183" s="2" t="s">
        <v>204</v>
      </c>
      <c r="U183" s="2" t="s">
        <v>204</v>
      </c>
      <c r="V183" s="2" t="s">
        <v>204</v>
      </c>
      <c r="W183" s="2" t="s">
        <v>204</v>
      </c>
      <c r="X183" s="2" t="s">
        <v>204</v>
      </c>
      <c r="Y183" s="2" t="s">
        <v>204</v>
      </c>
      <c r="Z183" s="2" t="s">
        <v>204</v>
      </c>
      <c r="AA183" s="2" t="s">
        <v>204</v>
      </c>
      <c r="AB183" s="2" t="s">
        <v>23</v>
      </c>
    </row>
    <row r="184" spans="1:28" x14ac:dyDescent="0.3">
      <c r="A184" s="1" t="s">
        <v>0</v>
      </c>
      <c r="B184" s="2" t="s">
        <v>1</v>
      </c>
      <c r="C184" s="2" t="s">
        <v>2</v>
      </c>
      <c r="D184" s="2" t="s">
        <v>3</v>
      </c>
      <c r="E184" s="2" t="s">
        <v>4</v>
      </c>
      <c r="F184" s="2" t="s">
        <v>5</v>
      </c>
      <c r="G184" s="2" t="s">
        <v>6</v>
      </c>
      <c r="H184" s="2" t="s">
        <v>7</v>
      </c>
      <c r="I184" s="2" t="s">
        <v>8</v>
      </c>
      <c r="J184" s="2" t="s">
        <v>9</v>
      </c>
      <c r="K184" s="2" t="s">
        <v>10</v>
      </c>
      <c r="L184" s="2" t="s">
        <v>11</v>
      </c>
      <c r="M184" s="2" t="s">
        <v>12</v>
      </c>
      <c r="N184" s="2" t="s">
        <v>13</v>
      </c>
      <c r="O184" s="2" t="s">
        <v>14</v>
      </c>
      <c r="P184" s="2" t="s">
        <v>15</v>
      </c>
      <c r="Q184" s="2" t="s">
        <v>16</v>
      </c>
      <c r="R184" s="2" t="s">
        <v>17</v>
      </c>
      <c r="S184" s="2" t="s">
        <v>18</v>
      </c>
      <c r="T184" s="2" t="s">
        <v>19</v>
      </c>
      <c r="U184" s="2" t="s">
        <v>20</v>
      </c>
      <c r="V184" s="2" t="s">
        <v>21</v>
      </c>
      <c r="W184" s="2" t="s">
        <v>22</v>
      </c>
      <c r="X184" s="2" t="s">
        <v>24</v>
      </c>
      <c r="Y184" s="2" t="s">
        <v>25</v>
      </c>
      <c r="Z184" s="2" t="s">
        <v>26</v>
      </c>
      <c r="AA184" s="2" t="s">
        <v>27</v>
      </c>
      <c r="AB184" s="2" t="s">
        <v>23</v>
      </c>
    </row>
    <row r="185" spans="1:28" x14ac:dyDescent="0.3">
      <c r="A185" s="11" t="s">
        <v>33</v>
      </c>
      <c r="B185" s="3">
        <v>2017</v>
      </c>
      <c r="C185" s="3" t="s">
        <v>38</v>
      </c>
      <c r="D185" s="3">
        <v>132.69999999999999</v>
      </c>
      <c r="E185" s="3">
        <v>139.4</v>
      </c>
      <c r="F185" s="3">
        <v>128.4</v>
      </c>
      <c r="G185" s="3">
        <v>134.9</v>
      </c>
      <c r="H185" s="3">
        <v>114</v>
      </c>
      <c r="I185" s="3">
        <v>136.80000000000001</v>
      </c>
      <c r="J185" s="3">
        <v>122.2</v>
      </c>
      <c r="K185" s="3">
        <v>135.80000000000001</v>
      </c>
      <c r="L185" s="3">
        <v>120.3</v>
      </c>
      <c r="M185" s="3">
        <v>142.6</v>
      </c>
      <c r="N185" s="3">
        <v>123.6</v>
      </c>
      <c r="O185" s="3">
        <v>142.4</v>
      </c>
      <c r="P185" s="3">
        <v>132.6</v>
      </c>
      <c r="Q185" s="3">
        <v>147.5</v>
      </c>
      <c r="R185" s="3">
        <v>130.80000000000001</v>
      </c>
      <c r="S185" s="3">
        <v>122.8</v>
      </c>
      <c r="T185" s="3">
        <v>129.6</v>
      </c>
      <c r="U185" s="3">
        <v>131.1</v>
      </c>
      <c r="V185" s="3">
        <v>120.8</v>
      </c>
      <c r="W185" s="3">
        <v>125.6</v>
      </c>
      <c r="X185" s="3">
        <v>115.6</v>
      </c>
      <c r="Y185" s="3">
        <v>122.4</v>
      </c>
      <c r="Z185" s="3">
        <v>132.80000000000001</v>
      </c>
      <c r="AA185" s="3">
        <v>121.7</v>
      </c>
      <c r="AB185" s="3">
        <v>123.1</v>
      </c>
    </row>
    <row r="186" spans="1:28" x14ac:dyDescent="0.3">
      <c r="A186" s="12" t="s">
        <v>33</v>
      </c>
      <c r="B186" s="4">
        <v>2018</v>
      </c>
      <c r="C186" s="4" t="s">
        <v>38</v>
      </c>
      <c r="D186" s="4">
        <v>135</v>
      </c>
      <c r="E186" s="4">
        <v>143.1</v>
      </c>
      <c r="F186" s="4">
        <v>135.5</v>
      </c>
      <c r="G186" s="4">
        <v>139.9</v>
      </c>
      <c r="H186" s="4">
        <v>116.5</v>
      </c>
      <c r="I186" s="4">
        <v>138.5</v>
      </c>
      <c r="J186" s="4">
        <v>128</v>
      </c>
      <c r="K186" s="4">
        <v>115.5</v>
      </c>
      <c r="L186" s="4">
        <v>114.2</v>
      </c>
      <c r="M186" s="4">
        <v>140.69999999999999</v>
      </c>
      <c r="N186" s="4">
        <v>126.2</v>
      </c>
      <c r="O186" s="4">
        <v>147.6</v>
      </c>
      <c r="P186" s="4">
        <v>134.80000000000001</v>
      </c>
      <c r="Q186" s="4">
        <v>159.69999999999999</v>
      </c>
      <c r="R186" s="4">
        <v>136.69999999999999</v>
      </c>
      <c r="S186" s="4">
        <v>126.7</v>
      </c>
      <c r="T186" s="4">
        <v>135.19999999999999</v>
      </c>
      <c r="U186" s="4">
        <v>142</v>
      </c>
      <c r="V186" s="4">
        <v>126.4</v>
      </c>
      <c r="W186" s="4">
        <v>130.80000000000001</v>
      </c>
      <c r="X186" s="4">
        <v>117.8</v>
      </c>
      <c r="Y186" s="4">
        <v>126.8</v>
      </c>
      <c r="Z186" s="4">
        <v>137.80000000000001</v>
      </c>
      <c r="AA186" s="4">
        <v>126.7</v>
      </c>
      <c r="AB186" s="4">
        <v>130.5</v>
      </c>
    </row>
    <row r="187" spans="1:28" x14ac:dyDescent="0.3">
      <c r="A187" s="11" t="s">
        <v>33</v>
      </c>
      <c r="B187" s="3">
        <v>2019</v>
      </c>
      <c r="C187" s="3" t="s">
        <v>38</v>
      </c>
      <c r="D187" s="3">
        <v>139.69999999999999</v>
      </c>
      <c r="E187" s="3">
        <v>151.1</v>
      </c>
      <c r="F187" s="3">
        <v>142.9</v>
      </c>
      <c r="G187" s="3">
        <v>141.9</v>
      </c>
      <c r="H187" s="3">
        <v>118.4</v>
      </c>
      <c r="I187" s="3">
        <v>139.4</v>
      </c>
      <c r="J187" s="3">
        <v>141.19999999999999</v>
      </c>
      <c r="K187" s="3">
        <v>120.7</v>
      </c>
      <c r="L187" s="3">
        <v>110.4</v>
      </c>
      <c r="M187" s="3">
        <v>140.69999999999999</v>
      </c>
      <c r="N187" s="3">
        <v>128.5</v>
      </c>
      <c r="O187" s="3">
        <v>153.9</v>
      </c>
      <c r="P187" s="3">
        <v>139.6</v>
      </c>
      <c r="Q187" s="3">
        <v>165.3</v>
      </c>
      <c r="R187" s="3">
        <v>143.5</v>
      </c>
      <c r="S187" s="3">
        <v>131.19999999999999</v>
      </c>
      <c r="T187" s="3">
        <v>141.6</v>
      </c>
      <c r="U187" s="3">
        <v>149</v>
      </c>
      <c r="V187" s="3">
        <v>128.80000000000001</v>
      </c>
      <c r="W187" s="3">
        <v>136.80000000000001</v>
      </c>
      <c r="X187" s="3">
        <v>119.9</v>
      </c>
      <c r="Y187" s="3">
        <v>133</v>
      </c>
      <c r="Z187" s="3">
        <v>146.69999999999999</v>
      </c>
      <c r="AA187" s="3">
        <v>132.5</v>
      </c>
      <c r="AB187" s="3">
        <v>139.19999999999999</v>
      </c>
    </row>
    <row r="188" spans="1:28" x14ac:dyDescent="0.3">
      <c r="A188" s="12" t="s">
        <v>33</v>
      </c>
      <c r="B188" s="4">
        <v>2020</v>
      </c>
      <c r="C188" s="4" t="s">
        <v>38</v>
      </c>
      <c r="D188" s="4">
        <v>146.5</v>
      </c>
      <c r="E188" s="4">
        <v>167.5</v>
      </c>
      <c r="F188" s="4">
        <v>148.9</v>
      </c>
      <c r="G188" s="4">
        <v>151.1</v>
      </c>
      <c r="H188" s="4">
        <v>127.5</v>
      </c>
      <c r="I188" s="4">
        <v>143.30000000000001</v>
      </c>
      <c r="J188" s="4">
        <v>167</v>
      </c>
      <c r="K188" s="4">
        <v>139.69999999999999</v>
      </c>
      <c r="L188" s="4">
        <v>114.4</v>
      </c>
      <c r="M188" s="4">
        <v>151.5</v>
      </c>
      <c r="N188" s="4">
        <v>131.9</v>
      </c>
      <c r="O188" s="4">
        <v>159.1</v>
      </c>
      <c r="P188" s="4">
        <v>150.1</v>
      </c>
      <c r="Q188" s="4">
        <v>173.3</v>
      </c>
      <c r="R188" s="4">
        <v>147.69999999999999</v>
      </c>
      <c r="S188" s="4">
        <v>133.80000000000001</v>
      </c>
      <c r="T188" s="4">
        <v>145.6</v>
      </c>
      <c r="U188" s="4">
        <v>154.5</v>
      </c>
      <c r="V188" s="4">
        <v>141.4</v>
      </c>
      <c r="W188" s="4">
        <v>140.80000000000001</v>
      </c>
      <c r="X188" s="4">
        <v>124.6</v>
      </c>
      <c r="Y188" s="4">
        <v>137.9</v>
      </c>
      <c r="Z188" s="4">
        <v>152.5</v>
      </c>
      <c r="AA188" s="4">
        <v>145.30000000000001</v>
      </c>
      <c r="AB188" s="4">
        <v>145</v>
      </c>
    </row>
    <row r="189" spans="1:28" x14ac:dyDescent="0.3">
      <c r="A189" s="11" t="s">
        <v>33</v>
      </c>
      <c r="B189" s="4">
        <v>2021</v>
      </c>
      <c r="C189" s="4" t="s">
        <v>38</v>
      </c>
      <c r="D189" s="3">
        <v>147.5</v>
      </c>
      <c r="E189" s="3">
        <v>197.5</v>
      </c>
      <c r="F189" s="3">
        <v>164.7</v>
      </c>
      <c r="G189" s="3">
        <v>155.6</v>
      </c>
      <c r="H189" s="3">
        <v>156.4</v>
      </c>
      <c r="I189" s="3">
        <v>157.30000000000001</v>
      </c>
      <c r="J189" s="3">
        <v>166.1</v>
      </c>
      <c r="K189" s="3">
        <v>161.1</v>
      </c>
      <c r="L189" s="3">
        <v>114.3</v>
      </c>
      <c r="M189" s="3">
        <v>162.6</v>
      </c>
      <c r="N189" s="3">
        <v>150.69999999999999</v>
      </c>
      <c r="O189" s="3">
        <v>170.3</v>
      </c>
      <c r="P189" s="3">
        <v>160.4</v>
      </c>
      <c r="Q189" s="3">
        <v>193.5</v>
      </c>
      <c r="R189" s="3">
        <v>155.1</v>
      </c>
      <c r="S189" s="3">
        <v>138.69999999999999</v>
      </c>
      <c r="T189" s="3">
        <v>152.6</v>
      </c>
      <c r="U189" s="3">
        <v>159.9</v>
      </c>
      <c r="V189" s="3">
        <v>154.80000000000001</v>
      </c>
      <c r="W189" s="3">
        <v>147.19999999999999</v>
      </c>
      <c r="X189" s="3">
        <v>141.69999999999999</v>
      </c>
      <c r="Y189" s="3">
        <v>148.6</v>
      </c>
      <c r="Z189" s="3">
        <v>157.6</v>
      </c>
      <c r="AA189" s="3">
        <v>154.9</v>
      </c>
      <c r="AB189" s="3">
        <v>156.9</v>
      </c>
    </row>
    <row r="190" spans="1:28" x14ac:dyDescent="0.3">
      <c r="A190" s="12" t="s">
        <v>33</v>
      </c>
      <c r="B190" s="3">
        <v>2022</v>
      </c>
      <c r="C190" s="3" t="s">
        <v>38</v>
      </c>
      <c r="D190" s="4">
        <v>153.69999999999999</v>
      </c>
      <c r="E190" s="4">
        <v>215.8</v>
      </c>
      <c r="F190" s="4">
        <v>167.7</v>
      </c>
      <c r="G190" s="4">
        <v>162.6</v>
      </c>
      <c r="H190" s="4">
        <v>180</v>
      </c>
      <c r="I190" s="4">
        <v>159.6</v>
      </c>
      <c r="J190" s="4">
        <v>188.4</v>
      </c>
      <c r="K190" s="4">
        <v>163.4</v>
      </c>
      <c r="L190" s="4">
        <v>120.3</v>
      </c>
      <c r="M190" s="4">
        <v>174.7</v>
      </c>
      <c r="N190" s="4">
        <v>157.1</v>
      </c>
      <c r="O190" s="4">
        <v>181.5</v>
      </c>
      <c r="P190" s="4">
        <v>171.5</v>
      </c>
      <c r="Q190" s="4">
        <v>197.5</v>
      </c>
      <c r="R190" s="4">
        <v>167.1</v>
      </c>
      <c r="S190" s="4">
        <v>152.6</v>
      </c>
      <c r="T190" s="4">
        <v>164.9</v>
      </c>
      <c r="U190" s="4">
        <v>165.3</v>
      </c>
      <c r="V190" s="4">
        <v>164.5</v>
      </c>
      <c r="W190" s="4">
        <v>158.6</v>
      </c>
      <c r="X190" s="4">
        <v>154.19999999999999</v>
      </c>
      <c r="Y190" s="4">
        <v>160.80000000000001</v>
      </c>
      <c r="Z190" s="4">
        <v>162.69999999999999</v>
      </c>
      <c r="AA190" s="4">
        <v>166.8</v>
      </c>
      <c r="AB190" s="4">
        <v>168.2</v>
      </c>
    </row>
    <row r="191" spans="1:28" x14ac:dyDescent="0.3">
      <c r="A191" s="11" t="s">
        <v>33</v>
      </c>
      <c r="B191" s="4">
        <v>2023</v>
      </c>
      <c r="C191" s="4" t="s">
        <v>38</v>
      </c>
      <c r="D191" s="3">
        <v>174.7</v>
      </c>
      <c r="E191" s="3">
        <v>212.2</v>
      </c>
      <c r="F191" s="3">
        <v>177.2</v>
      </c>
      <c r="G191" s="3">
        <v>177.9</v>
      </c>
      <c r="H191" s="3">
        <v>172.2</v>
      </c>
      <c r="I191" s="3">
        <v>172.1</v>
      </c>
      <c r="J191" s="3">
        <v>175.9</v>
      </c>
      <c r="K191" s="3">
        <v>172.2</v>
      </c>
      <c r="L191" s="3">
        <v>121.9</v>
      </c>
      <c r="M191" s="3">
        <v>204.8</v>
      </c>
      <c r="N191" s="3">
        <v>164.9</v>
      </c>
      <c r="O191" s="3">
        <v>196.6</v>
      </c>
      <c r="P191" s="3">
        <v>180.8</v>
      </c>
      <c r="Q191" s="3">
        <v>202.7</v>
      </c>
      <c r="R191" s="3">
        <v>180.2</v>
      </c>
      <c r="S191" s="3">
        <v>167</v>
      </c>
      <c r="T191" s="3">
        <v>178.2</v>
      </c>
      <c r="U191" s="3">
        <v>173.5</v>
      </c>
      <c r="V191" s="3">
        <v>182.6</v>
      </c>
      <c r="W191" s="3">
        <v>169.2</v>
      </c>
      <c r="X191" s="3">
        <v>159.80000000000001</v>
      </c>
      <c r="Y191" s="3">
        <v>168.4</v>
      </c>
      <c r="Z191" s="3">
        <v>172.5</v>
      </c>
      <c r="AA191" s="3">
        <v>181.5</v>
      </c>
      <c r="AB191" s="3">
        <v>180.8</v>
      </c>
    </row>
    <row r="193" spans="1:10" x14ac:dyDescent="0.3">
      <c r="A193" s="1" t="s">
        <v>0</v>
      </c>
      <c r="B193" s="2" t="s">
        <v>1</v>
      </c>
      <c r="C193" s="2" t="s">
        <v>2</v>
      </c>
      <c r="E193" t="s">
        <v>195</v>
      </c>
      <c r="F193" t="s">
        <v>229</v>
      </c>
      <c r="G193" t="s">
        <v>196</v>
      </c>
      <c r="H193" t="s">
        <v>230</v>
      </c>
      <c r="I193" t="s">
        <v>197</v>
      </c>
      <c r="J193" t="s">
        <v>230</v>
      </c>
    </row>
    <row r="194" spans="1:10" x14ac:dyDescent="0.3">
      <c r="A194" s="11" t="s">
        <v>33</v>
      </c>
      <c r="B194" s="3" t="s">
        <v>226</v>
      </c>
      <c r="C194" s="3">
        <v>2017</v>
      </c>
      <c r="D194" s="3" t="s">
        <v>38</v>
      </c>
      <c r="E194">
        <v>1853.1999999999998</v>
      </c>
      <c r="G194" s="3">
        <v>123.1</v>
      </c>
      <c r="H194" s="23"/>
      <c r="I194">
        <v>1253.2</v>
      </c>
    </row>
    <row r="195" spans="1:10" x14ac:dyDescent="0.3">
      <c r="A195" s="12" t="s">
        <v>33</v>
      </c>
      <c r="B195" s="3" t="s">
        <v>226</v>
      </c>
      <c r="C195" s="4">
        <v>2018</v>
      </c>
      <c r="D195" s="4" t="s">
        <v>38</v>
      </c>
      <c r="E195">
        <v>1875.2</v>
      </c>
      <c r="F195" s="22">
        <v>1.1871357651629737E-2</v>
      </c>
      <c r="G195" s="4">
        <v>130.5</v>
      </c>
      <c r="H195" s="22">
        <v>6.0113728675873321E-2</v>
      </c>
      <c r="I195">
        <v>1306.8999999999999</v>
      </c>
      <c r="J195" s="22">
        <v>4.2850303223747062E-2</v>
      </c>
    </row>
    <row r="196" spans="1:10" x14ac:dyDescent="0.3">
      <c r="A196" s="11" t="s">
        <v>33</v>
      </c>
      <c r="B196" s="3" t="s">
        <v>226</v>
      </c>
      <c r="C196" s="3">
        <v>2019</v>
      </c>
      <c r="D196" s="3" t="s">
        <v>38</v>
      </c>
      <c r="E196">
        <v>1933.7</v>
      </c>
      <c r="F196" s="22">
        <v>3.1196672354948805E-2</v>
      </c>
      <c r="G196" s="3">
        <v>139.19999999999999</v>
      </c>
      <c r="H196" s="22">
        <v>6.6666666666666582E-2</v>
      </c>
      <c r="I196">
        <v>1362.9999999999998</v>
      </c>
      <c r="J196" s="22">
        <v>4.2926008110796478E-2</v>
      </c>
    </row>
    <row r="197" spans="1:10" x14ac:dyDescent="0.3">
      <c r="A197" s="12" t="s">
        <v>33</v>
      </c>
      <c r="B197" s="4" t="s">
        <v>227</v>
      </c>
      <c r="C197" s="4">
        <v>2020</v>
      </c>
      <c r="D197" s="4" t="s">
        <v>38</v>
      </c>
      <c r="E197">
        <v>2071.8000000000002</v>
      </c>
      <c r="F197" s="22">
        <v>7.1417489786419888E-2</v>
      </c>
      <c r="G197" s="4">
        <v>145</v>
      </c>
      <c r="H197" s="22">
        <v>4.1666666666666755E-2</v>
      </c>
      <c r="I197">
        <v>1424.1</v>
      </c>
      <c r="J197" s="22">
        <v>4.4827586206896662E-2</v>
      </c>
    </row>
    <row r="198" spans="1:10" x14ac:dyDescent="0.3">
      <c r="A198" s="11" t="s">
        <v>33</v>
      </c>
      <c r="B198" s="4" t="s">
        <v>228</v>
      </c>
      <c r="C198" s="4">
        <v>2021</v>
      </c>
      <c r="D198" s="4" t="s">
        <v>38</v>
      </c>
      <c r="E198">
        <v>2257.9999999999995</v>
      </c>
      <c r="F198" s="22">
        <v>8.9873539916980091E-2</v>
      </c>
      <c r="G198" s="3">
        <v>156.9</v>
      </c>
      <c r="H198" s="22">
        <v>8.2068965517241424E-2</v>
      </c>
      <c r="I198">
        <v>1511.1</v>
      </c>
      <c r="J198" s="22">
        <v>6.109121550452918E-2</v>
      </c>
    </row>
    <row r="199" spans="1:10" x14ac:dyDescent="0.3">
      <c r="A199" s="12" t="s">
        <v>33</v>
      </c>
      <c r="B199" s="4" t="s">
        <v>228</v>
      </c>
      <c r="C199" s="3">
        <v>2022</v>
      </c>
      <c r="D199" s="3" t="s">
        <v>38</v>
      </c>
      <c r="E199">
        <v>2393.8000000000002</v>
      </c>
      <c r="F199" s="22">
        <v>6.0141718334809857E-2</v>
      </c>
      <c r="G199" s="4">
        <v>168.2</v>
      </c>
      <c r="H199" s="22">
        <v>7.2020395156150302E-2</v>
      </c>
      <c r="I199">
        <v>1617.5</v>
      </c>
      <c r="J199" s="22">
        <v>7.041228244325333E-2</v>
      </c>
    </row>
    <row r="200" spans="1:10" x14ac:dyDescent="0.3">
      <c r="A200" s="11" t="s">
        <v>33</v>
      </c>
      <c r="B200" s="4" t="s">
        <v>228</v>
      </c>
      <c r="C200" s="4">
        <v>2023</v>
      </c>
      <c r="D200" s="4" t="s">
        <v>38</v>
      </c>
      <c r="E200">
        <v>2506.1</v>
      </c>
      <c r="G200" s="3">
        <v>180.8</v>
      </c>
      <c r="H200" s="23"/>
      <c r="I200">
        <v>1732.9</v>
      </c>
    </row>
    <row r="211" spans="1:10" x14ac:dyDescent="0.3">
      <c r="A211" t="s">
        <v>231</v>
      </c>
      <c r="B211" t="s">
        <v>232</v>
      </c>
      <c r="C211" t="s">
        <v>1</v>
      </c>
      <c r="D211" t="s">
        <v>2</v>
      </c>
      <c r="E211" t="s">
        <v>195</v>
      </c>
      <c r="F211" t="s">
        <v>229</v>
      </c>
      <c r="G211" t="s">
        <v>196</v>
      </c>
      <c r="H211" t="s">
        <v>230</v>
      </c>
      <c r="I211" t="s">
        <v>197</v>
      </c>
      <c r="J211" t="s">
        <v>234</v>
      </c>
    </row>
    <row r="212" spans="1:10" x14ac:dyDescent="0.3">
      <c r="A212" s="12" t="s">
        <v>30</v>
      </c>
      <c r="B212" s="3" t="s">
        <v>226</v>
      </c>
      <c r="C212" s="4">
        <v>2018</v>
      </c>
      <c r="D212" s="4" t="s">
        <v>38</v>
      </c>
      <c r="E212" s="3">
        <v>1937.0999999999997</v>
      </c>
      <c r="F212" s="22">
        <v>3.4388850323062638E-2</v>
      </c>
      <c r="G212" s="4">
        <v>136.69999999999999</v>
      </c>
      <c r="H212" s="22">
        <v>4.6707503828483876E-2</v>
      </c>
      <c r="I212" s="3">
        <v>1254.7</v>
      </c>
      <c r="J212" s="22">
        <v>5.1277754503560993E-2</v>
      </c>
    </row>
    <row r="213" spans="1:10" x14ac:dyDescent="0.3">
      <c r="A213" s="11" t="s">
        <v>30</v>
      </c>
      <c r="B213" s="3" t="s">
        <v>226</v>
      </c>
      <c r="C213" s="3">
        <v>2019</v>
      </c>
      <c r="D213" s="3" t="s">
        <v>38</v>
      </c>
      <c r="E213">
        <v>1924.1000000000004</v>
      </c>
      <c r="F213" s="22">
        <v>-6.7110629291204996E-3</v>
      </c>
      <c r="G213" s="3">
        <v>150.4</v>
      </c>
      <c r="H213" s="22">
        <v>0.10021945866861755</v>
      </c>
      <c r="I213" s="3">
        <v>1306.5999999999999</v>
      </c>
      <c r="J213" s="22">
        <v>4.1364469594325229E-2</v>
      </c>
    </row>
    <row r="214" spans="1:10" x14ac:dyDescent="0.3">
      <c r="A214" s="12" t="s">
        <v>30</v>
      </c>
      <c r="B214" s="4" t="s">
        <v>227</v>
      </c>
      <c r="C214" s="4">
        <v>2020</v>
      </c>
      <c r="D214" s="4" t="s">
        <v>38</v>
      </c>
      <c r="E214" s="3">
        <v>2065.0999999999995</v>
      </c>
      <c r="F214" s="22">
        <v>7.328101450028536E-2</v>
      </c>
      <c r="G214" s="4">
        <v>156.69999999999999</v>
      </c>
      <c r="H214" s="22">
        <v>4.1888297872340309E-2</v>
      </c>
      <c r="I214" s="3">
        <v>1351.7</v>
      </c>
      <c r="J214" s="22">
        <v>3.4517067197306094E-2</v>
      </c>
    </row>
    <row r="215" spans="1:10" x14ac:dyDescent="0.3">
      <c r="A215" s="12" t="s">
        <v>30</v>
      </c>
      <c r="B215" s="4" t="s">
        <v>228</v>
      </c>
      <c r="C215" s="4">
        <v>2021</v>
      </c>
      <c r="D215" s="4" t="s">
        <v>38</v>
      </c>
      <c r="E215">
        <v>2211.8000000000002</v>
      </c>
      <c r="F215" s="22">
        <v>7.1037722144206464E-2</v>
      </c>
      <c r="G215" s="3">
        <v>164.6</v>
      </c>
      <c r="H215" s="22">
        <v>5.0414805360561622E-2</v>
      </c>
      <c r="I215" s="3">
        <v>1409.6999999999998</v>
      </c>
      <c r="J215" s="22">
        <v>4.290892949618981E-2</v>
      </c>
    </row>
    <row r="216" spans="1:10" x14ac:dyDescent="0.3">
      <c r="A216" s="11" t="s">
        <v>30</v>
      </c>
      <c r="B216" s="4" t="s">
        <v>228</v>
      </c>
      <c r="C216" s="3">
        <v>2022</v>
      </c>
      <c r="D216" s="3" t="s">
        <v>38</v>
      </c>
      <c r="E216">
        <v>2371.4000000000005</v>
      </c>
      <c r="F216" s="22">
        <v>7.2158423003888389E-2</v>
      </c>
      <c r="G216" s="4">
        <v>176</v>
      </c>
      <c r="H216" s="22">
        <v>6.9258809234507931E-2</v>
      </c>
      <c r="I216" s="3">
        <v>1525.7</v>
      </c>
      <c r="J216" s="22">
        <v>8.228701142086986E-2</v>
      </c>
    </row>
    <row r="217" spans="1:10" x14ac:dyDescent="0.3">
      <c r="A217" s="12" t="s">
        <v>33</v>
      </c>
      <c r="B217" s="3" t="s">
        <v>226</v>
      </c>
      <c r="C217" s="4">
        <v>2018</v>
      </c>
      <c r="D217" s="4" t="s">
        <v>38</v>
      </c>
      <c r="E217">
        <v>1875.2</v>
      </c>
      <c r="F217" s="22">
        <v>1.1871357651629737E-2</v>
      </c>
      <c r="G217" s="4">
        <v>130.5</v>
      </c>
      <c r="H217" s="22">
        <v>6.0113728675873321E-2</v>
      </c>
      <c r="I217">
        <v>1306.8999999999999</v>
      </c>
      <c r="J217" s="22">
        <v>4.2850303223747062E-2</v>
      </c>
    </row>
    <row r="218" spans="1:10" x14ac:dyDescent="0.3">
      <c r="A218" s="11" t="s">
        <v>33</v>
      </c>
      <c r="B218" s="3" t="s">
        <v>226</v>
      </c>
      <c r="C218" s="3">
        <v>2019</v>
      </c>
      <c r="D218" s="3" t="s">
        <v>38</v>
      </c>
      <c r="E218">
        <v>1933.7</v>
      </c>
      <c r="F218" s="22">
        <v>3.1196672354948805E-2</v>
      </c>
      <c r="G218" s="3">
        <v>139.19999999999999</v>
      </c>
      <c r="H218" s="22">
        <v>6.6666666666666582E-2</v>
      </c>
      <c r="I218">
        <v>1362.9999999999998</v>
      </c>
      <c r="J218" s="22">
        <v>4.2926008110796478E-2</v>
      </c>
    </row>
    <row r="219" spans="1:10" x14ac:dyDescent="0.3">
      <c r="A219" s="12" t="s">
        <v>33</v>
      </c>
      <c r="B219" s="4" t="s">
        <v>227</v>
      </c>
      <c r="C219" s="4">
        <v>2020</v>
      </c>
      <c r="D219" s="4" t="s">
        <v>38</v>
      </c>
      <c r="E219">
        <v>2071.8000000000002</v>
      </c>
      <c r="F219" s="22">
        <v>7.1417489786419888E-2</v>
      </c>
      <c r="G219" s="4">
        <v>145</v>
      </c>
      <c r="H219" s="22">
        <v>4.1666666666666755E-2</v>
      </c>
      <c r="I219">
        <v>1424.1</v>
      </c>
      <c r="J219" s="22">
        <v>4.4827586206896662E-2</v>
      </c>
    </row>
    <row r="220" spans="1:10" x14ac:dyDescent="0.3">
      <c r="A220" s="11" t="s">
        <v>33</v>
      </c>
      <c r="B220" s="4" t="s">
        <v>228</v>
      </c>
      <c r="C220" s="4">
        <v>2021</v>
      </c>
      <c r="D220" s="4" t="s">
        <v>38</v>
      </c>
      <c r="E220">
        <v>2257.9999999999995</v>
      </c>
      <c r="F220" s="22">
        <v>8.9873539916980091E-2</v>
      </c>
      <c r="G220" s="3">
        <v>156.9</v>
      </c>
      <c r="H220" s="22">
        <v>8.2068965517241424E-2</v>
      </c>
      <c r="I220">
        <v>1511.1</v>
      </c>
      <c r="J220" s="22">
        <v>6.109121550452918E-2</v>
      </c>
    </row>
    <row r="221" spans="1:10" x14ac:dyDescent="0.3">
      <c r="A221" s="12" t="s">
        <v>33</v>
      </c>
      <c r="B221" s="4" t="s">
        <v>228</v>
      </c>
      <c r="C221" s="3">
        <v>2022</v>
      </c>
      <c r="D221" s="3" t="s">
        <v>38</v>
      </c>
      <c r="E221">
        <v>2393.8000000000002</v>
      </c>
      <c r="F221" s="22">
        <v>6.0141718334809857E-2</v>
      </c>
      <c r="G221" s="4">
        <v>168.2</v>
      </c>
      <c r="H221" s="22">
        <v>7.2020395156150302E-2</v>
      </c>
      <c r="I221">
        <v>1617.5</v>
      </c>
      <c r="J221" s="22">
        <v>7.041228244325333E-2</v>
      </c>
    </row>
    <row r="222" spans="1:10" x14ac:dyDescent="0.3">
      <c r="A222" s="12" t="s">
        <v>35</v>
      </c>
      <c r="B222" s="3" t="s">
        <v>226</v>
      </c>
      <c r="C222" s="4">
        <v>2018</v>
      </c>
      <c r="D222" s="4" t="s">
        <v>38</v>
      </c>
      <c r="E222">
        <v>1912.3</v>
      </c>
      <c r="F222" s="22">
        <v>2.5912017167381951E-2</v>
      </c>
      <c r="G222" s="4">
        <v>134.30000000000001</v>
      </c>
      <c r="H222" s="22">
        <v>5.0860719874804491E-2</v>
      </c>
      <c r="I222">
        <v>1357.1000000000001</v>
      </c>
      <c r="J222" s="22">
        <v>4.9087816944959985E-2</v>
      </c>
    </row>
    <row r="223" spans="1:10" x14ac:dyDescent="0.3">
      <c r="A223" s="11" t="s">
        <v>35</v>
      </c>
      <c r="B223" s="3" t="s">
        <v>226</v>
      </c>
      <c r="C223" s="3">
        <v>2019</v>
      </c>
      <c r="D223" s="3" t="s">
        <v>38</v>
      </c>
      <c r="E223">
        <v>1926.4</v>
      </c>
      <c r="F223" s="22">
        <v>7.3733200857606738E-3</v>
      </c>
      <c r="G223" s="3">
        <v>146.19999999999999</v>
      </c>
      <c r="H223" s="22">
        <v>8.8607594936708681E-2</v>
      </c>
      <c r="I223">
        <v>1413</v>
      </c>
      <c r="J223" s="22">
        <v>4.1190774445508699E-2</v>
      </c>
    </row>
    <row r="224" spans="1:10" x14ac:dyDescent="0.3">
      <c r="A224" s="11" t="s">
        <v>35</v>
      </c>
      <c r="B224" s="4" t="s">
        <v>227</v>
      </c>
      <c r="C224" s="4">
        <v>2020</v>
      </c>
      <c r="D224" s="4" t="s">
        <v>38</v>
      </c>
      <c r="E224">
        <v>2066.6</v>
      </c>
      <c r="F224" s="22">
        <v>7.2778239202657705E-2</v>
      </c>
      <c r="G224" s="4">
        <v>152.30000000000001</v>
      </c>
      <c r="H224" s="22">
        <v>4.1723666210670474E-2</v>
      </c>
      <c r="I224">
        <v>1467.6</v>
      </c>
      <c r="J224" s="22">
        <v>3.8641188959660233E-2</v>
      </c>
    </row>
    <row r="225" spans="1:20" x14ac:dyDescent="0.3">
      <c r="A225" s="12" t="s">
        <v>35</v>
      </c>
      <c r="B225" s="4" t="s">
        <v>228</v>
      </c>
      <c r="C225" s="4">
        <v>2021</v>
      </c>
      <c r="D225" s="4" t="s">
        <v>38</v>
      </c>
      <c r="E225">
        <v>2227.5</v>
      </c>
      <c r="F225" s="22">
        <v>7.7857350237104467E-2</v>
      </c>
      <c r="G225" s="3">
        <v>161.69999999999999</v>
      </c>
      <c r="H225" s="22">
        <v>6.1720288903479817E-2</v>
      </c>
      <c r="I225">
        <v>1541.5</v>
      </c>
      <c r="J225" s="22">
        <v>5.0354319978195762E-2</v>
      </c>
    </row>
    <row r="226" spans="1:20" x14ac:dyDescent="0.3">
      <c r="A226" s="11" t="s">
        <v>35</v>
      </c>
      <c r="B226" s="4" t="s">
        <v>228</v>
      </c>
      <c r="C226" s="3">
        <v>2022</v>
      </c>
      <c r="D226" s="3" t="s">
        <v>38</v>
      </c>
      <c r="E226">
        <v>2377.9</v>
      </c>
      <c r="F226" s="22">
        <v>6.7519640852974225E-2</v>
      </c>
      <c r="G226" s="4">
        <v>173</v>
      </c>
      <c r="H226" s="22">
        <v>6.9882498453927105E-2</v>
      </c>
      <c r="I226">
        <v>1657.5</v>
      </c>
      <c r="J226" s="22">
        <v>7.5251378527408375E-2</v>
      </c>
    </row>
    <row r="227" spans="1:20" x14ac:dyDescent="0.3">
      <c r="A227" s="23"/>
      <c r="C227" s="23"/>
      <c r="D227" s="23"/>
      <c r="F227" s="24"/>
      <c r="H227" s="24"/>
      <c r="J227" s="24"/>
    </row>
    <row r="228" spans="1:20" x14ac:dyDescent="0.3">
      <c r="A228" s="23"/>
      <c r="C228" s="23"/>
      <c r="D228" s="23"/>
      <c r="F228" s="24"/>
      <c r="H228" s="24"/>
      <c r="J228" s="24"/>
    </row>
    <row r="229" spans="1:20" x14ac:dyDescent="0.3">
      <c r="A229" s="23"/>
      <c r="C229" s="23"/>
      <c r="D229" s="23"/>
      <c r="F229" s="24"/>
      <c r="H229" s="24"/>
      <c r="J229" s="24"/>
    </row>
    <row r="230" spans="1:20" x14ac:dyDescent="0.3">
      <c r="A230" s="23"/>
      <c r="C230" s="23"/>
      <c r="D230" s="23"/>
      <c r="F230" s="24"/>
      <c r="H230" s="24"/>
      <c r="J230" s="24"/>
    </row>
    <row r="231" spans="1:20" x14ac:dyDescent="0.3">
      <c r="A231" s="23"/>
      <c r="B231" s="9" t="s">
        <v>231</v>
      </c>
      <c r="C231" t="s">
        <v>33</v>
      </c>
      <c r="D231" s="23"/>
      <c r="F231" s="24"/>
      <c r="H231" s="24"/>
      <c r="J231" s="24"/>
    </row>
    <row r="232" spans="1:20" x14ac:dyDescent="0.3">
      <c r="G232" s="9" t="s">
        <v>231</v>
      </c>
      <c r="H232" t="s">
        <v>35</v>
      </c>
      <c r="I232" s="23"/>
      <c r="L232" s="9" t="s">
        <v>231</v>
      </c>
      <c r="M232" t="s">
        <v>30</v>
      </c>
      <c r="N232" s="23"/>
    </row>
    <row r="233" spans="1:20" x14ac:dyDescent="0.3">
      <c r="B233" s="9" t="s">
        <v>174</v>
      </c>
      <c r="C233" t="s">
        <v>203</v>
      </c>
      <c r="D233" t="s">
        <v>233</v>
      </c>
    </row>
    <row r="234" spans="1:20" x14ac:dyDescent="0.3">
      <c r="B234" s="10">
        <v>2018</v>
      </c>
      <c r="C234" s="25">
        <v>1.1871357651629737E-2</v>
      </c>
      <c r="D234" s="25">
        <v>6.0113728675873321E-2</v>
      </c>
      <c r="G234" s="9" t="s">
        <v>174</v>
      </c>
      <c r="H234" t="s">
        <v>203</v>
      </c>
      <c r="I234" t="s">
        <v>233</v>
      </c>
      <c r="L234" s="9" t="s">
        <v>174</v>
      </c>
      <c r="M234" t="s">
        <v>203</v>
      </c>
      <c r="N234" t="s">
        <v>233</v>
      </c>
    </row>
    <row r="235" spans="1:20" x14ac:dyDescent="0.3">
      <c r="B235" s="10">
        <v>2019</v>
      </c>
      <c r="C235" s="25">
        <v>3.1196672354948805E-2</v>
      </c>
      <c r="D235" s="25">
        <v>6.6666666666666582E-2</v>
      </c>
      <c r="G235" s="10">
        <v>2018</v>
      </c>
      <c r="H235" s="25">
        <v>2.5912017167381951E-2</v>
      </c>
      <c r="I235" s="25">
        <v>5.0860719874804491E-2</v>
      </c>
      <c r="L235" s="10">
        <v>2018</v>
      </c>
      <c r="M235" s="25">
        <v>3.4388850323062638E-2</v>
      </c>
      <c r="N235" s="25">
        <v>4.6707503828483876E-2</v>
      </c>
    </row>
    <row r="236" spans="1:20" x14ac:dyDescent="0.3">
      <c r="B236" s="10">
        <v>2020</v>
      </c>
      <c r="C236" s="25">
        <v>7.1417489786419888E-2</v>
      </c>
      <c r="D236" s="25">
        <v>4.1666666666666755E-2</v>
      </c>
      <c r="G236" s="10">
        <v>2019</v>
      </c>
      <c r="H236" s="25">
        <v>7.3733200857606738E-3</v>
      </c>
      <c r="I236" s="25">
        <v>8.8607594936708681E-2</v>
      </c>
      <c r="L236" s="10">
        <v>2019</v>
      </c>
      <c r="M236" s="25">
        <v>-6.7110629291204996E-3</v>
      </c>
      <c r="N236" s="25">
        <v>0.10021945866861755</v>
      </c>
    </row>
    <row r="237" spans="1:20" x14ac:dyDescent="0.3">
      <c r="B237" s="10">
        <v>2021</v>
      </c>
      <c r="C237" s="25">
        <v>8.9873539916980091E-2</v>
      </c>
      <c r="D237" s="25">
        <v>8.2068965517241424E-2</v>
      </c>
      <c r="G237" s="10">
        <v>2020</v>
      </c>
      <c r="H237" s="25">
        <v>7.2778239202657705E-2</v>
      </c>
      <c r="I237" s="25">
        <v>4.1723666210670474E-2</v>
      </c>
      <c r="L237" s="10">
        <v>2020</v>
      </c>
      <c r="M237" s="25">
        <v>7.328101450028536E-2</v>
      </c>
      <c r="N237" s="25">
        <v>4.1888297872340309E-2</v>
      </c>
    </row>
    <row r="238" spans="1:20" x14ac:dyDescent="0.3">
      <c r="B238" s="10">
        <v>2022</v>
      </c>
      <c r="C238" s="25">
        <v>6.0141718334809857E-2</v>
      </c>
      <c r="D238" s="25">
        <v>7.2020395156150302E-2</v>
      </c>
      <c r="G238" s="10">
        <v>2021</v>
      </c>
      <c r="H238" s="25">
        <v>7.7857350237104467E-2</v>
      </c>
      <c r="I238" s="25">
        <v>6.1720288903479817E-2</v>
      </c>
      <c r="L238" s="10">
        <v>2021</v>
      </c>
      <c r="M238" s="25">
        <v>7.1037722144206464E-2</v>
      </c>
      <c r="N238" s="25">
        <v>5.0414805360561622E-2</v>
      </c>
    </row>
    <row r="239" spans="1:20" x14ac:dyDescent="0.3">
      <c r="B239" s="10" t="s">
        <v>175</v>
      </c>
      <c r="C239" s="25">
        <v>0.26450077804478839</v>
      </c>
      <c r="D239" s="25">
        <v>0.32253642268259841</v>
      </c>
      <c r="G239" s="10">
        <v>2022</v>
      </c>
      <c r="H239" s="25">
        <v>6.7519640852974225E-2</v>
      </c>
      <c r="I239" s="25">
        <v>6.9882498453927105E-2</v>
      </c>
      <c r="L239" s="10">
        <v>2022</v>
      </c>
      <c r="M239" s="25">
        <v>7.2158423003888389E-2</v>
      </c>
      <c r="N239" s="25">
        <v>6.9258809234507931E-2</v>
      </c>
      <c r="Q239" s="26"/>
      <c r="R239" s="27"/>
      <c r="S239" s="27"/>
      <c r="T239" s="27"/>
    </row>
    <row r="240" spans="1:20" x14ac:dyDescent="0.3">
      <c r="G240" s="10" t="s">
        <v>175</v>
      </c>
      <c r="H240" s="25">
        <v>0.25144056754587901</v>
      </c>
      <c r="I240" s="25">
        <v>0.31279476837959053</v>
      </c>
      <c r="L240" s="10" t="s">
        <v>175</v>
      </c>
      <c r="M240" s="25">
        <v>0.24415494704232235</v>
      </c>
      <c r="N240" s="25">
        <v>0.30848887496451127</v>
      </c>
    </row>
    <row r="257" spans="2:18" ht="25.8" x14ac:dyDescent="0.5">
      <c r="B257" s="28" t="s">
        <v>236</v>
      </c>
      <c r="C257" s="28"/>
    </row>
    <row r="258" spans="2:18" x14ac:dyDescent="0.3">
      <c r="B258" s="1" t="s">
        <v>0</v>
      </c>
      <c r="C258" t="s">
        <v>235</v>
      </c>
      <c r="D258" t="s">
        <v>195</v>
      </c>
      <c r="E258" t="s">
        <v>196</v>
      </c>
      <c r="F258" t="s">
        <v>197</v>
      </c>
    </row>
    <row r="259" spans="2:18" x14ac:dyDescent="0.3">
      <c r="B259" s="11" t="s">
        <v>30</v>
      </c>
      <c r="C259" s="3" t="s">
        <v>226</v>
      </c>
      <c r="D259" s="25">
        <v>0.01</v>
      </c>
      <c r="E259" s="25">
        <v>7.0000000000000007E-2</v>
      </c>
      <c r="F259" s="25">
        <v>0.05</v>
      </c>
    </row>
    <row r="260" spans="2:18" x14ac:dyDescent="0.3">
      <c r="B260" s="12" t="s">
        <v>33</v>
      </c>
      <c r="C260" s="3" t="s">
        <v>226</v>
      </c>
      <c r="D260" s="25">
        <v>0.02</v>
      </c>
      <c r="E260" s="25">
        <v>0.06</v>
      </c>
      <c r="F260" s="25">
        <v>0.04</v>
      </c>
    </row>
    <row r="261" spans="2:18" x14ac:dyDescent="0.3">
      <c r="B261" s="12" t="s">
        <v>35</v>
      </c>
      <c r="C261" s="3" t="s">
        <v>226</v>
      </c>
      <c r="D261" s="25">
        <v>0.02</v>
      </c>
      <c r="E261" s="25">
        <v>7.0000000000000007E-2</v>
      </c>
      <c r="F261" s="25">
        <v>0.05</v>
      </c>
    </row>
    <row r="262" spans="2:18" x14ac:dyDescent="0.3">
      <c r="B262" s="12" t="s">
        <v>30</v>
      </c>
      <c r="C262" s="4" t="s">
        <v>227</v>
      </c>
      <c r="D262" s="22">
        <v>7.328101450028536E-2</v>
      </c>
      <c r="E262" s="22">
        <v>4.1888297872340309E-2</v>
      </c>
      <c r="F262" s="22">
        <v>3.4517067197306094E-2</v>
      </c>
    </row>
    <row r="263" spans="2:18" x14ac:dyDescent="0.3">
      <c r="B263" s="12" t="s">
        <v>33</v>
      </c>
      <c r="C263" s="4" t="s">
        <v>227</v>
      </c>
      <c r="D263" s="22">
        <v>7.1417489786419888E-2</v>
      </c>
      <c r="E263" s="22">
        <v>4.1666666666666755E-2</v>
      </c>
      <c r="F263" s="22">
        <v>4.4827586206896662E-2</v>
      </c>
    </row>
    <row r="264" spans="2:18" x14ac:dyDescent="0.3">
      <c r="B264" s="11" t="s">
        <v>35</v>
      </c>
      <c r="C264" s="4" t="s">
        <v>227</v>
      </c>
      <c r="D264" s="22">
        <v>7.2778239202657705E-2</v>
      </c>
      <c r="E264" s="22">
        <v>4.1723666210670474E-2</v>
      </c>
      <c r="F264" s="22">
        <v>3.8641188959660233E-2</v>
      </c>
    </row>
    <row r="265" spans="2:18" x14ac:dyDescent="0.3">
      <c r="B265" s="12" t="s">
        <v>30</v>
      </c>
      <c r="C265" s="4" t="s">
        <v>228</v>
      </c>
      <c r="D265" s="22">
        <v>7.2158423003888389E-2</v>
      </c>
      <c r="E265" s="24">
        <v>0.06</v>
      </c>
      <c r="F265" s="24">
        <v>0.06</v>
      </c>
    </row>
    <row r="266" spans="2:18" x14ac:dyDescent="0.3">
      <c r="B266" s="12" t="s">
        <v>33</v>
      </c>
      <c r="C266" s="4" t="s">
        <v>228</v>
      </c>
      <c r="D266" s="24">
        <v>0.08</v>
      </c>
      <c r="E266" s="24">
        <v>0.08</v>
      </c>
      <c r="F266" s="24">
        <v>7.0000000000000007E-2</v>
      </c>
    </row>
    <row r="267" spans="2:18" x14ac:dyDescent="0.3">
      <c r="B267" s="11" t="s">
        <v>35</v>
      </c>
      <c r="C267" s="4" t="s">
        <v>228</v>
      </c>
      <c r="D267" s="24">
        <v>7.0000000000000007E-2</v>
      </c>
      <c r="E267" s="24">
        <v>7.0000000000000007E-2</v>
      </c>
      <c r="F267" s="24">
        <v>0.06</v>
      </c>
    </row>
    <row r="270" spans="2:18" x14ac:dyDescent="0.3">
      <c r="B270" s="1" t="s">
        <v>0</v>
      </c>
      <c r="C270" t="s">
        <v>235</v>
      </c>
      <c r="D270" t="s">
        <v>195</v>
      </c>
      <c r="E270" t="s">
        <v>196</v>
      </c>
      <c r="F270" t="s">
        <v>197</v>
      </c>
      <c r="H270" s="1" t="s">
        <v>0</v>
      </c>
      <c r="I270" t="s">
        <v>235</v>
      </c>
      <c r="J270" t="s">
        <v>195</v>
      </c>
      <c r="K270" t="s">
        <v>196</v>
      </c>
      <c r="L270" t="s">
        <v>197</v>
      </c>
      <c r="N270" s="1" t="s">
        <v>0</v>
      </c>
      <c r="O270" t="s">
        <v>235</v>
      </c>
      <c r="P270" t="s">
        <v>195</v>
      </c>
      <c r="Q270" t="s">
        <v>196</v>
      </c>
      <c r="R270" t="s">
        <v>197</v>
      </c>
    </row>
    <row r="271" spans="2:18" x14ac:dyDescent="0.3">
      <c r="B271" s="11" t="s">
        <v>30</v>
      </c>
      <c r="C271" s="3" t="s">
        <v>226</v>
      </c>
      <c r="D271" s="25">
        <v>0.01</v>
      </c>
      <c r="E271" s="25">
        <v>7.0000000000000007E-2</v>
      </c>
      <c r="F271" s="25">
        <v>0.05</v>
      </c>
      <c r="H271" s="12" t="s">
        <v>35</v>
      </c>
      <c r="I271" s="3" t="s">
        <v>226</v>
      </c>
      <c r="J271" s="25">
        <v>0.02</v>
      </c>
      <c r="K271" s="25">
        <v>7.0000000000000007E-2</v>
      </c>
      <c r="L271" s="25">
        <v>0.05</v>
      </c>
      <c r="N271" s="12" t="s">
        <v>33</v>
      </c>
      <c r="O271" s="3" t="s">
        <v>226</v>
      </c>
      <c r="P271" s="25">
        <v>0.02</v>
      </c>
      <c r="Q271" s="25">
        <v>0.06</v>
      </c>
      <c r="R271" s="25">
        <v>0.04</v>
      </c>
    </row>
    <row r="272" spans="2:18" x14ac:dyDescent="0.3">
      <c r="B272" s="12" t="s">
        <v>30</v>
      </c>
      <c r="C272" s="4" t="s">
        <v>227</v>
      </c>
      <c r="D272" s="22">
        <v>7.328101450028536E-2</v>
      </c>
      <c r="E272" s="22">
        <v>4.1888297872340309E-2</v>
      </c>
      <c r="F272" s="22">
        <v>3.4517067197306094E-2</v>
      </c>
      <c r="H272" s="11" t="s">
        <v>35</v>
      </c>
      <c r="I272" s="4" t="s">
        <v>227</v>
      </c>
      <c r="J272" s="22">
        <v>7.2778239202657705E-2</v>
      </c>
      <c r="K272" s="22">
        <v>4.1723666210670474E-2</v>
      </c>
      <c r="L272" s="22">
        <v>3.8641188959660233E-2</v>
      </c>
      <c r="N272" s="12" t="s">
        <v>33</v>
      </c>
      <c r="O272" s="4" t="s">
        <v>227</v>
      </c>
      <c r="P272" s="22">
        <v>7.1417489786419888E-2</v>
      </c>
      <c r="Q272" s="22">
        <v>4.1666666666666755E-2</v>
      </c>
      <c r="R272" s="22">
        <v>4.4827586206896662E-2</v>
      </c>
    </row>
    <row r="273" spans="2:18" x14ac:dyDescent="0.3">
      <c r="B273" s="12" t="s">
        <v>30</v>
      </c>
      <c r="C273" s="4" t="s">
        <v>228</v>
      </c>
      <c r="D273" s="22">
        <v>7.2158423003888389E-2</v>
      </c>
      <c r="E273" s="24">
        <v>0.06</v>
      </c>
      <c r="F273" s="24">
        <v>0.06</v>
      </c>
      <c r="H273" s="11" t="s">
        <v>35</v>
      </c>
      <c r="I273" s="4" t="s">
        <v>228</v>
      </c>
      <c r="J273" s="24">
        <v>7.0000000000000007E-2</v>
      </c>
      <c r="K273" s="24">
        <v>7.0000000000000007E-2</v>
      </c>
      <c r="L273" s="24">
        <v>0.06</v>
      </c>
      <c r="N273" s="12" t="s">
        <v>33</v>
      </c>
      <c r="O273" s="4" t="s">
        <v>228</v>
      </c>
      <c r="P273" s="24">
        <v>0.08</v>
      </c>
      <c r="Q273" s="24">
        <v>0.08</v>
      </c>
      <c r="R273" s="24">
        <v>7.0000000000000007E-2</v>
      </c>
    </row>
  </sheetData>
  <autoFilter ref="A2:E29" xr:uid="{0B041A6A-7A83-4A56-AF5B-513D9AF472DC}"/>
  <mergeCells count="10">
    <mergeCell ref="A1:C1"/>
    <mergeCell ref="A31:C31"/>
    <mergeCell ref="E162:F162"/>
    <mergeCell ref="E182:F182"/>
    <mergeCell ref="A46:C46"/>
    <mergeCell ref="D47:E47"/>
    <mergeCell ref="D78:E78"/>
    <mergeCell ref="D109:E109"/>
    <mergeCell ref="A142:C142"/>
    <mergeCell ref="E143:F143"/>
  </mergeCell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AD313-8B91-407F-B740-21F2CFE78E0C}">
  <dimension ref="A1:AV253"/>
  <sheetViews>
    <sheetView zoomScale="64" zoomScaleNormal="70" workbookViewId="0">
      <selection activeCell="G40" sqref="G40"/>
    </sheetView>
  </sheetViews>
  <sheetFormatPr defaultColWidth="11.109375" defaultRowHeight="14.4" x14ac:dyDescent="0.3"/>
  <cols>
    <col min="1" max="1" width="12.88671875" customWidth="1"/>
    <col min="2" max="2" width="20.6640625" customWidth="1"/>
    <col min="3" max="3" width="15.5546875" customWidth="1"/>
    <col min="4" max="4" width="17.77734375" customWidth="1"/>
    <col min="5" max="5" width="18.77734375" customWidth="1"/>
    <col min="6" max="6" width="18.44140625" customWidth="1"/>
    <col min="7" max="7" width="19.5546875" customWidth="1"/>
    <col min="8" max="8" width="25.77734375" customWidth="1"/>
    <col min="9" max="9" width="26.88671875" customWidth="1"/>
    <col min="11" max="11" width="15.44140625" customWidth="1"/>
    <col min="13" max="13" width="12.88671875" customWidth="1"/>
    <col min="14" max="14" width="20.6640625" customWidth="1"/>
    <col min="17" max="17" width="20.77734375" customWidth="1"/>
  </cols>
  <sheetData>
    <row r="1" spans="4:45" ht="31.2" x14ac:dyDescent="0.6">
      <c r="G1" s="82" t="s">
        <v>247</v>
      </c>
      <c r="H1" s="83"/>
    </row>
    <row r="2" spans="4:45" x14ac:dyDescent="0.3">
      <c r="D2" s="38" t="s">
        <v>245</v>
      </c>
      <c r="E2" s="39" t="s">
        <v>241</v>
      </c>
      <c r="F2" t="s">
        <v>256</v>
      </c>
      <c r="G2" s="39" t="s">
        <v>242</v>
      </c>
      <c r="H2" t="s">
        <v>257</v>
      </c>
      <c r="I2" s="39" t="s">
        <v>243</v>
      </c>
      <c r="J2" t="s">
        <v>258</v>
      </c>
    </row>
    <row r="3" spans="4:45" x14ac:dyDescent="0.3">
      <c r="D3" t="s">
        <v>17</v>
      </c>
      <c r="E3">
        <v>569.90000000000009</v>
      </c>
      <c r="F3" s="14">
        <f t="shared" ref="F3:F12" si="0">E3/$E$12</f>
        <v>0.12667822530452563</v>
      </c>
      <c r="G3">
        <v>528.70000000000005</v>
      </c>
      <c r="H3" s="14">
        <f t="shared" ref="H3:H12" si="1">G3/$G$12</f>
        <v>0.11392186860307267</v>
      </c>
      <c r="I3">
        <v>553.20000000000005</v>
      </c>
      <c r="J3" s="14">
        <f t="shared" ref="J3:J12" si="2">I3/$I$12</f>
        <v>0.11885527672739772</v>
      </c>
    </row>
    <row r="4" spans="4:45" x14ac:dyDescent="0.3">
      <c r="D4" t="s">
        <v>26</v>
      </c>
      <c r="E4">
        <v>180.3</v>
      </c>
      <c r="F4" s="14">
        <f t="shared" si="0"/>
        <v>4.0077353961056272E-2</v>
      </c>
      <c r="G4">
        <v>174.8</v>
      </c>
      <c r="H4" s="14">
        <f t="shared" si="1"/>
        <v>3.7665108060936453E-2</v>
      </c>
      <c r="I4">
        <v>177.1</v>
      </c>
      <c r="J4" s="14">
        <f t="shared" si="2"/>
        <v>3.8050017188037119E-2</v>
      </c>
    </row>
    <row r="5" spans="4:45" x14ac:dyDescent="0.3">
      <c r="D5" t="s">
        <v>176</v>
      </c>
      <c r="E5">
        <v>2112.0000000000005</v>
      </c>
      <c r="F5" s="14">
        <f t="shared" si="0"/>
        <v>0.46945852227260604</v>
      </c>
      <c r="G5">
        <v>2169.2000000000003</v>
      </c>
      <c r="H5" s="14">
        <f t="shared" si="1"/>
        <v>0.46740933870585449</v>
      </c>
      <c r="I5">
        <v>2133.5</v>
      </c>
      <c r="J5" s="14">
        <f t="shared" si="2"/>
        <v>0.45838346510828459</v>
      </c>
    </row>
    <row r="6" spans="4:45" x14ac:dyDescent="0.3">
      <c r="D6" t="s">
        <v>21</v>
      </c>
      <c r="E6">
        <v>182.5</v>
      </c>
      <c r="F6" s="14">
        <f t="shared" si="0"/>
        <v>4.0566373255090236E-2</v>
      </c>
      <c r="G6">
        <v>183.4</v>
      </c>
      <c r="H6" s="14">
        <f t="shared" si="1"/>
        <v>3.9518196901463076E-2</v>
      </c>
      <c r="I6">
        <v>182.8</v>
      </c>
      <c r="J6" s="14">
        <f t="shared" si="2"/>
        <v>3.9274664833276039E-2</v>
      </c>
    </row>
    <row r="7" spans="4:45" x14ac:dyDescent="0.3">
      <c r="D7" t="s">
        <v>23</v>
      </c>
      <c r="E7">
        <v>187.8</v>
      </c>
      <c r="F7" s="14">
        <f t="shared" si="0"/>
        <v>4.174446519071752E-2</v>
      </c>
      <c r="G7">
        <v>182.2</v>
      </c>
      <c r="H7" s="14">
        <f t="shared" si="1"/>
        <v>3.9259626365575638E-2</v>
      </c>
      <c r="I7">
        <v>185.7</v>
      </c>
      <c r="J7" s="14">
        <f t="shared" si="2"/>
        <v>3.9897731179099338E-2</v>
      </c>
    </row>
    <row r="8" spans="4:45" x14ac:dyDescent="0.3">
      <c r="D8" t="s">
        <v>167</v>
      </c>
      <c r="E8">
        <v>179.8</v>
      </c>
      <c r="F8" s="14">
        <f t="shared" si="0"/>
        <v>3.9966213212412192E-2</v>
      </c>
      <c r="G8">
        <v>345.7</v>
      </c>
      <c r="H8" s="14">
        <f t="shared" si="1"/>
        <v>7.4489861880238734E-2</v>
      </c>
      <c r="I8">
        <v>350.79999999999995</v>
      </c>
      <c r="J8" s="14">
        <f t="shared" si="2"/>
        <v>7.5369542798212424E-2</v>
      </c>
    </row>
    <row r="9" spans="4:45" x14ac:dyDescent="0.3">
      <c r="D9" t="s">
        <v>178</v>
      </c>
      <c r="E9">
        <v>737.3</v>
      </c>
      <c r="F9" s="14">
        <f t="shared" si="0"/>
        <v>0.16388814795056456</v>
      </c>
      <c r="G9">
        <v>724.9</v>
      </c>
      <c r="H9" s="14">
        <f t="shared" si="1"/>
        <v>0.15619815122066838</v>
      </c>
      <c r="I9">
        <v>730.8</v>
      </c>
      <c r="J9" s="14">
        <f t="shared" si="2"/>
        <v>0.15701271914747333</v>
      </c>
      <c r="AK9" s="38" t="s">
        <v>245</v>
      </c>
      <c r="AL9" s="39" t="s">
        <v>241</v>
      </c>
      <c r="AM9" t="s">
        <v>256</v>
      </c>
      <c r="AN9" s="39" t="s">
        <v>242</v>
      </c>
      <c r="AO9" t="s">
        <v>257</v>
      </c>
      <c r="AP9" s="39" t="s">
        <v>243</v>
      </c>
      <c r="AQ9" t="s">
        <v>258</v>
      </c>
      <c r="AR9" s="40" t="s">
        <v>259</v>
      </c>
      <c r="AS9" s="40" t="s">
        <v>260</v>
      </c>
    </row>
    <row r="10" spans="4:45" x14ac:dyDescent="0.3">
      <c r="D10" t="s">
        <v>170</v>
      </c>
      <c r="E10">
        <v>179.5</v>
      </c>
      <c r="F10" s="14">
        <f t="shared" si="0"/>
        <v>3.9899528763225736E-2</v>
      </c>
      <c r="G10">
        <v>171.6</v>
      </c>
      <c r="H10" s="14">
        <f t="shared" si="1"/>
        <v>3.6975586631903291E-2</v>
      </c>
      <c r="I10">
        <v>175.7</v>
      </c>
      <c r="J10" s="14">
        <f t="shared" si="2"/>
        <v>3.7749226538329315E-2</v>
      </c>
      <c r="AK10" t="s">
        <v>17</v>
      </c>
      <c r="AL10">
        <v>569.90000000000009</v>
      </c>
      <c r="AM10" s="14">
        <f t="shared" ref="AM10:AM19" si="3">AL10/$E$12</f>
        <v>0.12667822530452563</v>
      </c>
      <c r="AN10">
        <v>528.70000000000005</v>
      </c>
      <c r="AO10" s="14">
        <f t="shared" ref="AO10:AO19" si="4">AN10/$G$12</f>
        <v>0.11392186860307267</v>
      </c>
      <c r="AP10">
        <v>553.20000000000005</v>
      </c>
      <c r="AQ10" s="14">
        <f t="shared" ref="AQ10:AQ19" si="5">AP10/$I$12</f>
        <v>0.11885527672739772</v>
      </c>
      <c r="AR10" s="69">
        <f t="shared" ref="AR10:AR19" si="6">SUM(AL10,AN10,AP10)</f>
        <v>1651.8000000000002</v>
      </c>
      <c r="AS10" s="14">
        <f>Table524[[#This Row],[Column1]]/$AR$19</f>
        <v>0.11974684829021102</v>
      </c>
    </row>
    <row r="11" spans="4:45" x14ac:dyDescent="0.3">
      <c r="D11" t="s">
        <v>24</v>
      </c>
      <c r="E11">
        <v>169.7</v>
      </c>
      <c r="F11" s="14">
        <f t="shared" si="0"/>
        <v>3.7721170089801713E-2</v>
      </c>
      <c r="G11">
        <v>160.4</v>
      </c>
      <c r="H11" s="14">
        <f t="shared" si="1"/>
        <v>3.4562261630287229E-2</v>
      </c>
      <c r="I11">
        <v>164.8</v>
      </c>
      <c r="J11" s="14">
        <f t="shared" si="2"/>
        <v>3.5407356479889997E-2</v>
      </c>
      <c r="AK11" t="s">
        <v>26</v>
      </c>
      <c r="AL11">
        <v>180.3</v>
      </c>
      <c r="AM11" s="14">
        <f t="shared" si="3"/>
        <v>4.0077353961056272E-2</v>
      </c>
      <c r="AN11">
        <v>174.8</v>
      </c>
      <c r="AO11" s="14">
        <f t="shared" si="4"/>
        <v>3.7665108060936453E-2</v>
      </c>
      <c r="AP11">
        <v>177.1</v>
      </c>
      <c r="AQ11" s="14">
        <f t="shared" si="5"/>
        <v>3.8050017188037119E-2</v>
      </c>
      <c r="AR11" s="69">
        <f t="shared" si="6"/>
        <v>532.20000000000005</v>
      </c>
      <c r="AS11" s="14">
        <f>Table524[[#This Row],[Column1]]/$AR$19</f>
        <v>3.8581712471273948E-2</v>
      </c>
    </row>
    <row r="12" spans="4:45" x14ac:dyDescent="0.3">
      <c r="D12" t="s">
        <v>175</v>
      </c>
      <c r="E12">
        <v>4498.8000000000011</v>
      </c>
      <c r="F12" s="14">
        <f t="shared" si="0"/>
        <v>1</v>
      </c>
      <c r="G12">
        <v>4640.9000000000005</v>
      </c>
      <c r="H12" s="14">
        <f t="shared" si="1"/>
        <v>1</v>
      </c>
      <c r="I12">
        <v>4654.4000000000005</v>
      </c>
      <c r="J12" s="14">
        <f t="shared" si="2"/>
        <v>1</v>
      </c>
      <c r="AK12" t="s">
        <v>176</v>
      </c>
      <c r="AL12">
        <v>2112.0000000000005</v>
      </c>
      <c r="AM12" s="14">
        <f t="shared" si="3"/>
        <v>0.46945852227260604</v>
      </c>
      <c r="AN12">
        <v>2169.2000000000003</v>
      </c>
      <c r="AO12" s="14">
        <f t="shared" si="4"/>
        <v>0.46740933870585449</v>
      </c>
      <c r="AP12">
        <v>2133.5</v>
      </c>
      <c r="AQ12" s="14">
        <f t="shared" si="5"/>
        <v>0.45838346510828459</v>
      </c>
      <c r="AR12" s="69">
        <f t="shared" si="6"/>
        <v>6414.7000000000007</v>
      </c>
      <c r="AS12" s="14">
        <f>Table524[[#This Row],[Column1]]/$AR$19</f>
        <v>0.46503215142705939</v>
      </c>
    </row>
    <row r="13" spans="4:45" x14ac:dyDescent="0.3">
      <c r="AK13" t="s">
        <v>21</v>
      </c>
      <c r="AL13">
        <v>182.5</v>
      </c>
      <c r="AM13" s="14">
        <f t="shared" si="3"/>
        <v>4.0566373255090236E-2</v>
      </c>
      <c r="AN13">
        <v>183.4</v>
      </c>
      <c r="AO13" s="14">
        <f t="shared" si="4"/>
        <v>3.9518196901463076E-2</v>
      </c>
      <c r="AP13">
        <v>182.8</v>
      </c>
      <c r="AQ13" s="14">
        <f t="shared" si="5"/>
        <v>3.9274664833276039E-2</v>
      </c>
      <c r="AR13" s="69">
        <f t="shared" si="6"/>
        <v>548.70000000000005</v>
      </c>
      <c r="AS13" s="14">
        <f>Table524[[#This Row],[Column1]]/$AR$19</f>
        <v>3.9777876048455493E-2</v>
      </c>
    </row>
    <row r="14" spans="4:45" x14ac:dyDescent="0.3">
      <c r="AK14" t="s">
        <v>23</v>
      </c>
      <c r="AL14">
        <v>187.8</v>
      </c>
      <c r="AM14" s="14">
        <f t="shared" si="3"/>
        <v>4.174446519071752E-2</v>
      </c>
      <c r="AN14">
        <v>182.2</v>
      </c>
      <c r="AO14" s="14">
        <f t="shared" si="4"/>
        <v>3.9259626365575638E-2</v>
      </c>
      <c r="AP14">
        <v>185.7</v>
      </c>
      <c r="AQ14" s="14">
        <f t="shared" si="5"/>
        <v>3.9897731179099338E-2</v>
      </c>
      <c r="AR14" s="69">
        <f t="shared" si="6"/>
        <v>555.70000000000005</v>
      </c>
      <c r="AS14" s="14">
        <f>Table524[[#This Row],[Column1]]/$AR$19</f>
        <v>4.0285339384229485E-2</v>
      </c>
    </row>
    <row r="15" spans="4:45" x14ac:dyDescent="0.3">
      <c r="AK15" t="s">
        <v>167</v>
      </c>
      <c r="AL15">
        <v>179.8</v>
      </c>
      <c r="AM15" s="14">
        <f t="shared" si="3"/>
        <v>3.9966213212412192E-2</v>
      </c>
      <c r="AN15">
        <v>345.7</v>
      </c>
      <c r="AO15" s="14">
        <f t="shared" si="4"/>
        <v>7.4489861880238734E-2</v>
      </c>
      <c r="AP15">
        <v>350.79999999999995</v>
      </c>
      <c r="AQ15" s="14">
        <f t="shared" si="5"/>
        <v>7.5369542798212424E-2</v>
      </c>
      <c r="AR15" s="69">
        <f t="shared" si="6"/>
        <v>876.3</v>
      </c>
      <c r="AS15" s="14">
        <f>Table524[[#This Row],[Column1]]/$AR$19</f>
        <v>6.3527160162678231E-2</v>
      </c>
    </row>
    <row r="16" spans="4:45" x14ac:dyDescent="0.3">
      <c r="AK16" t="s">
        <v>178</v>
      </c>
      <c r="AL16">
        <v>737.3</v>
      </c>
      <c r="AM16" s="14">
        <f t="shared" si="3"/>
        <v>0.16388814795056456</v>
      </c>
      <c r="AN16">
        <v>724.9</v>
      </c>
      <c r="AO16" s="14">
        <f t="shared" si="4"/>
        <v>0.15619815122066838</v>
      </c>
      <c r="AP16">
        <v>730.8</v>
      </c>
      <c r="AQ16" s="14">
        <f t="shared" si="5"/>
        <v>0.15701271914747333</v>
      </c>
      <c r="AR16" s="69">
        <f t="shared" si="6"/>
        <v>2193</v>
      </c>
      <c r="AS16" s="14">
        <f>Table524[[#This Row],[Column1]]/$AR$19</f>
        <v>0.15898101362176581</v>
      </c>
    </row>
    <row r="17" spans="30:45" x14ac:dyDescent="0.3">
      <c r="AK17" t="s">
        <v>170</v>
      </c>
      <c r="AL17">
        <v>179.5</v>
      </c>
      <c r="AM17" s="14">
        <f t="shared" si="3"/>
        <v>3.9899528763225736E-2</v>
      </c>
      <c r="AN17">
        <v>171.6</v>
      </c>
      <c r="AO17" s="14">
        <f t="shared" si="4"/>
        <v>3.6975586631903291E-2</v>
      </c>
      <c r="AP17">
        <v>175.7</v>
      </c>
      <c r="AQ17" s="14">
        <f t="shared" si="5"/>
        <v>3.7749226538329315E-2</v>
      </c>
      <c r="AR17" s="69">
        <f t="shared" si="6"/>
        <v>526.79999999999995</v>
      </c>
      <c r="AS17" s="14">
        <f>Table524[[#This Row],[Column1]]/$AR$19</f>
        <v>3.8190240755105437E-2</v>
      </c>
    </row>
    <row r="18" spans="30:45" x14ac:dyDescent="0.3">
      <c r="AD18" t="s">
        <v>17</v>
      </c>
      <c r="AE18" s="14">
        <v>0.11974684829021102</v>
      </c>
      <c r="AK18" t="s">
        <v>24</v>
      </c>
      <c r="AL18">
        <v>169.7</v>
      </c>
      <c r="AM18" s="14">
        <f t="shared" si="3"/>
        <v>3.7721170089801713E-2</v>
      </c>
      <c r="AN18">
        <v>160.4</v>
      </c>
      <c r="AO18" s="14">
        <f t="shared" si="4"/>
        <v>3.4562261630287229E-2</v>
      </c>
      <c r="AP18">
        <v>164.8</v>
      </c>
      <c r="AQ18" s="14">
        <f t="shared" si="5"/>
        <v>3.5407356479889997E-2</v>
      </c>
      <c r="AR18" s="69">
        <f t="shared" si="6"/>
        <v>494.90000000000003</v>
      </c>
      <c r="AS18" s="14">
        <f>Table524[[#This Row],[Column1]]/$AR$19</f>
        <v>3.5877657839221117E-2</v>
      </c>
    </row>
    <row r="19" spans="30:45" x14ac:dyDescent="0.3">
      <c r="AD19" t="s">
        <v>26</v>
      </c>
      <c r="AE19" s="14">
        <v>3.8581712471273948E-2</v>
      </c>
      <c r="AK19" t="s">
        <v>175</v>
      </c>
      <c r="AL19">
        <v>4498.8000000000011</v>
      </c>
      <c r="AM19" s="14">
        <f t="shared" si="3"/>
        <v>1</v>
      </c>
      <c r="AN19">
        <v>4640.9000000000005</v>
      </c>
      <c r="AO19" s="14">
        <f t="shared" si="4"/>
        <v>1</v>
      </c>
      <c r="AP19">
        <v>4654.4000000000005</v>
      </c>
      <c r="AQ19" s="14">
        <f t="shared" si="5"/>
        <v>1</v>
      </c>
      <c r="AR19" s="69">
        <f t="shared" si="6"/>
        <v>13794.100000000002</v>
      </c>
      <c r="AS19" s="14">
        <f>Table524[[#This Row],[Column1]]/$AR$19</f>
        <v>1</v>
      </c>
    </row>
    <row r="20" spans="30:45" x14ac:dyDescent="0.3">
      <c r="AD20" t="s">
        <v>176</v>
      </c>
      <c r="AE20" s="14">
        <v>0.46503215142705939</v>
      </c>
    </row>
    <row r="21" spans="30:45" x14ac:dyDescent="0.3">
      <c r="AD21" t="s">
        <v>21</v>
      </c>
      <c r="AE21" s="14">
        <v>3.9777876048455493E-2</v>
      </c>
    </row>
    <row r="22" spans="30:45" x14ac:dyDescent="0.3">
      <c r="AD22" t="s">
        <v>23</v>
      </c>
      <c r="AE22" s="14">
        <v>4.0285339384229485E-2</v>
      </c>
    </row>
    <row r="23" spans="30:45" x14ac:dyDescent="0.3">
      <c r="AD23" t="s">
        <v>167</v>
      </c>
      <c r="AE23" s="14">
        <v>6.3527160162678231E-2</v>
      </c>
    </row>
    <row r="24" spans="30:45" x14ac:dyDescent="0.3">
      <c r="AD24" t="s">
        <v>178</v>
      </c>
      <c r="AE24" s="14">
        <v>0.15898101362176581</v>
      </c>
    </row>
    <row r="25" spans="30:45" x14ac:dyDescent="0.3">
      <c r="AD25" t="s">
        <v>170</v>
      </c>
      <c r="AE25" s="14">
        <v>3.8190240755105437E-2</v>
      </c>
    </row>
    <row r="26" spans="30:45" x14ac:dyDescent="0.3">
      <c r="AD26" t="s">
        <v>24</v>
      </c>
      <c r="AE26" s="14">
        <v>3.5877657839221117E-2</v>
      </c>
    </row>
    <row r="48" spans="7:9" ht="14.4" customHeight="1" x14ac:dyDescent="0.3">
      <c r="G48" s="82" t="s">
        <v>165</v>
      </c>
      <c r="H48" s="82"/>
      <c r="I48" s="82"/>
    </row>
    <row r="49" spans="1:48" ht="14.4" customHeight="1" x14ac:dyDescent="0.3">
      <c r="G49" s="82"/>
      <c r="H49" s="82"/>
      <c r="I49" s="82"/>
    </row>
    <row r="50" spans="1:48" x14ac:dyDescent="0.3">
      <c r="A50" s="38" t="s">
        <v>237</v>
      </c>
      <c r="B50" s="41" t="s">
        <v>238</v>
      </c>
      <c r="C50" s="41" t="s">
        <v>0</v>
      </c>
      <c r="D50" s="42" t="s">
        <v>239</v>
      </c>
      <c r="E50" t="s">
        <v>255</v>
      </c>
      <c r="G50" s="38" t="s">
        <v>237</v>
      </c>
      <c r="H50" s="41" t="s">
        <v>238</v>
      </c>
      <c r="I50" s="41" t="s">
        <v>0</v>
      </c>
      <c r="J50" s="42" t="s">
        <v>239</v>
      </c>
      <c r="K50" t="s">
        <v>255</v>
      </c>
      <c r="M50" s="38" t="s">
        <v>237</v>
      </c>
      <c r="N50" s="41" t="s">
        <v>238</v>
      </c>
      <c r="O50" s="41" t="s">
        <v>0</v>
      </c>
      <c r="P50" s="42" t="s">
        <v>239</v>
      </c>
      <c r="Q50" t="s">
        <v>255</v>
      </c>
    </row>
    <row r="51" spans="1:48" x14ac:dyDescent="0.3">
      <c r="A51" t="s">
        <v>176</v>
      </c>
      <c r="B51" t="s">
        <v>3</v>
      </c>
      <c r="C51" t="s">
        <v>30</v>
      </c>
      <c r="D51">
        <v>173.2</v>
      </c>
      <c r="E51" s="43">
        <v>8.2007575757575737E-2</v>
      </c>
      <c r="G51" t="s">
        <v>176</v>
      </c>
      <c r="H51" t="s">
        <v>3</v>
      </c>
      <c r="I51" t="s">
        <v>33</v>
      </c>
      <c r="J51">
        <v>174.7</v>
      </c>
      <c r="K51" s="14">
        <v>8.0536603356075959E-2</v>
      </c>
      <c r="M51" t="s">
        <v>176</v>
      </c>
      <c r="N51" t="s">
        <v>3</v>
      </c>
      <c r="O51" t="s">
        <v>35</v>
      </c>
      <c r="P51">
        <v>173.7</v>
      </c>
      <c r="Q51" s="14">
        <v>8.1415514412936485E-2</v>
      </c>
    </row>
    <row r="52" spans="1:48" x14ac:dyDescent="0.3">
      <c r="A52" t="s">
        <v>176</v>
      </c>
      <c r="B52" t="s">
        <v>4</v>
      </c>
      <c r="C52" t="s">
        <v>30</v>
      </c>
      <c r="D52">
        <v>211.5</v>
      </c>
      <c r="E52" s="43">
        <v>0.10014204545454543</v>
      </c>
      <c r="G52" t="s">
        <v>176</v>
      </c>
      <c r="H52" t="s">
        <v>4</v>
      </c>
      <c r="I52" t="s">
        <v>33</v>
      </c>
      <c r="J52">
        <v>219.4</v>
      </c>
      <c r="K52" s="14">
        <v>0.10114327862806563</v>
      </c>
      <c r="M52" t="s">
        <v>176</v>
      </c>
      <c r="N52" t="s">
        <v>4</v>
      </c>
      <c r="O52" t="s">
        <v>35</v>
      </c>
      <c r="P52">
        <v>214.3</v>
      </c>
      <c r="Q52" s="14">
        <v>0.10044527771267871</v>
      </c>
    </row>
    <row r="53" spans="1:48" x14ac:dyDescent="0.3">
      <c r="A53" t="s">
        <v>176</v>
      </c>
      <c r="B53" t="s">
        <v>5</v>
      </c>
      <c r="C53" t="s">
        <v>30</v>
      </c>
      <c r="D53">
        <v>171</v>
      </c>
      <c r="E53" s="43">
        <v>8.0965909090909075E-2</v>
      </c>
      <c r="G53" t="s">
        <v>176</v>
      </c>
      <c r="H53" t="s">
        <v>5</v>
      </c>
      <c r="I53" t="s">
        <v>33</v>
      </c>
      <c r="J53">
        <v>176.7</v>
      </c>
      <c r="K53" s="14">
        <v>8.1458602249677284E-2</v>
      </c>
      <c r="M53" t="s">
        <v>176</v>
      </c>
      <c r="N53" t="s">
        <v>5</v>
      </c>
      <c r="O53" t="s">
        <v>35</v>
      </c>
      <c r="P53">
        <v>173.2</v>
      </c>
      <c r="Q53" s="14">
        <v>8.1181157722052963E-2</v>
      </c>
      <c r="AL53" t="s">
        <v>244</v>
      </c>
      <c r="AM53" t="s">
        <v>245</v>
      </c>
      <c r="AN53" s="2" t="s">
        <v>0</v>
      </c>
      <c r="AO53" s="2" t="s">
        <v>239</v>
      </c>
      <c r="AR53" s="29" t="s">
        <v>244</v>
      </c>
      <c r="AS53" s="37" t="s">
        <v>245</v>
      </c>
      <c r="AT53" s="2" t="s">
        <v>0</v>
      </c>
      <c r="AU53" s="32" t="s">
        <v>239</v>
      </c>
      <c r="AV53" s="8" t="s">
        <v>240</v>
      </c>
    </row>
    <row r="54" spans="1:48" x14ac:dyDescent="0.3">
      <c r="A54" t="s">
        <v>176</v>
      </c>
      <c r="B54" t="s">
        <v>6</v>
      </c>
      <c r="C54" t="s">
        <v>30</v>
      </c>
      <c r="D54">
        <v>179.6</v>
      </c>
      <c r="E54" s="43">
        <v>8.5037878787878773E-2</v>
      </c>
      <c r="G54" t="s">
        <v>176</v>
      </c>
      <c r="H54" t="s">
        <v>6</v>
      </c>
      <c r="I54" t="s">
        <v>33</v>
      </c>
      <c r="J54">
        <v>179.4</v>
      </c>
      <c r="K54" s="14">
        <v>8.2703300756039086E-2</v>
      </c>
      <c r="M54" t="s">
        <v>176</v>
      </c>
      <c r="N54" t="s">
        <v>6</v>
      </c>
      <c r="O54" t="s">
        <v>35</v>
      </c>
      <c r="P54">
        <v>179.5</v>
      </c>
      <c r="Q54" s="14">
        <v>8.413405202718538E-2</v>
      </c>
      <c r="AL54" t="s">
        <v>176</v>
      </c>
      <c r="AM54" s="2" t="s">
        <v>3</v>
      </c>
      <c r="AN54" s="11" t="s">
        <v>30</v>
      </c>
      <c r="AO54" s="3">
        <v>173.2</v>
      </c>
      <c r="AR54" s="30" t="s">
        <v>176</v>
      </c>
      <c r="AS54" s="2" t="s">
        <v>3</v>
      </c>
      <c r="AT54" s="11" t="s">
        <v>30</v>
      </c>
      <c r="AU54" s="33">
        <v>173.2</v>
      </c>
      <c r="AV54" s="14">
        <v>8.2007575757575737E-2</v>
      </c>
    </row>
    <row r="55" spans="1:48" x14ac:dyDescent="0.3">
      <c r="A55" t="s">
        <v>176</v>
      </c>
      <c r="B55" t="s">
        <v>7</v>
      </c>
      <c r="C55" t="s">
        <v>30</v>
      </c>
      <c r="D55">
        <v>173.3</v>
      </c>
      <c r="E55" s="43">
        <v>8.2054924242424235E-2</v>
      </c>
      <c r="G55" t="s">
        <v>176</v>
      </c>
      <c r="H55" t="s">
        <v>7</v>
      </c>
      <c r="I55" t="s">
        <v>33</v>
      </c>
      <c r="J55">
        <v>164.4</v>
      </c>
      <c r="K55" s="14">
        <v>7.5788309054029127E-2</v>
      </c>
      <c r="M55" t="s">
        <v>176</v>
      </c>
      <c r="N55" t="s">
        <v>7</v>
      </c>
      <c r="O55" t="s">
        <v>35</v>
      </c>
      <c r="P55">
        <v>170</v>
      </c>
      <c r="Q55" s="14">
        <v>7.9681274900398405E-2</v>
      </c>
      <c r="AL55" t="s">
        <v>176</v>
      </c>
      <c r="AM55" s="2" t="s">
        <v>4</v>
      </c>
      <c r="AN55" s="11" t="s">
        <v>30</v>
      </c>
      <c r="AO55" s="3">
        <v>211.5</v>
      </c>
      <c r="AR55" s="31" t="s">
        <v>176</v>
      </c>
      <c r="AS55" s="2" t="s">
        <v>4</v>
      </c>
      <c r="AT55" s="11" t="s">
        <v>30</v>
      </c>
      <c r="AU55" s="33">
        <v>211.5</v>
      </c>
      <c r="AV55" s="14">
        <v>0.10014204545454543</v>
      </c>
    </row>
    <row r="56" spans="1:48" x14ac:dyDescent="0.3">
      <c r="A56" t="s">
        <v>176</v>
      </c>
      <c r="B56" t="s">
        <v>8</v>
      </c>
      <c r="C56" t="s">
        <v>30</v>
      </c>
      <c r="D56">
        <v>169</v>
      </c>
      <c r="E56" s="43">
        <v>8.0018939393939378E-2</v>
      </c>
      <c r="G56" t="s">
        <v>176</v>
      </c>
      <c r="H56" t="s">
        <v>8</v>
      </c>
      <c r="I56" t="s">
        <v>33</v>
      </c>
      <c r="J56">
        <v>175.8</v>
      </c>
      <c r="K56" s="14">
        <v>8.1043702747556692E-2</v>
      </c>
      <c r="M56" t="s">
        <v>176</v>
      </c>
      <c r="N56" t="s">
        <v>8</v>
      </c>
      <c r="O56" t="s">
        <v>35</v>
      </c>
      <c r="P56">
        <v>172.2</v>
      </c>
      <c r="Q56" s="14">
        <v>8.0712444340285905E-2</v>
      </c>
      <c r="AL56" t="s">
        <v>176</v>
      </c>
      <c r="AM56" s="2" t="s">
        <v>5</v>
      </c>
      <c r="AN56" s="11" t="s">
        <v>30</v>
      </c>
      <c r="AO56" s="3">
        <v>171</v>
      </c>
      <c r="AR56" s="30" t="s">
        <v>176</v>
      </c>
      <c r="AS56" s="2" t="s">
        <v>5</v>
      </c>
      <c r="AT56" s="11" t="s">
        <v>30</v>
      </c>
      <c r="AU56" s="33">
        <v>171</v>
      </c>
      <c r="AV56" s="14">
        <v>8.0965909090909075E-2</v>
      </c>
    </row>
    <row r="57" spans="1:48" x14ac:dyDescent="0.3">
      <c r="A57" t="s">
        <v>176</v>
      </c>
      <c r="B57" t="s">
        <v>9</v>
      </c>
      <c r="C57" t="s">
        <v>30</v>
      </c>
      <c r="D57">
        <v>148.69999999999999</v>
      </c>
      <c r="E57" s="43">
        <v>7.0407196969696953E-2</v>
      </c>
      <c r="G57" t="s">
        <v>176</v>
      </c>
      <c r="H57" t="s">
        <v>9</v>
      </c>
      <c r="I57" t="s">
        <v>33</v>
      </c>
      <c r="J57">
        <v>185</v>
      </c>
      <c r="K57" s="14">
        <v>8.5284897658122805E-2</v>
      </c>
      <c r="M57" t="s">
        <v>176</v>
      </c>
      <c r="N57" t="s">
        <v>9</v>
      </c>
      <c r="O57" t="s">
        <v>35</v>
      </c>
      <c r="P57">
        <v>161</v>
      </c>
      <c r="Q57" s="14">
        <v>7.5462854464494966E-2</v>
      </c>
      <c r="AL57" t="s">
        <v>176</v>
      </c>
      <c r="AM57" s="2" t="s">
        <v>6</v>
      </c>
      <c r="AN57" s="11" t="s">
        <v>30</v>
      </c>
      <c r="AO57" s="3">
        <v>179.6</v>
      </c>
      <c r="AR57" s="31" t="s">
        <v>176</v>
      </c>
      <c r="AS57" s="2" t="s">
        <v>6</v>
      </c>
      <c r="AT57" s="11" t="s">
        <v>30</v>
      </c>
      <c r="AU57" s="33">
        <v>179.6</v>
      </c>
      <c r="AV57" s="14">
        <v>8.5037878787878773E-2</v>
      </c>
    </row>
    <row r="58" spans="1:48" x14ac:dyDescent="0.3">
      <c r="A58" t="s">
        <v>176</v>
      </c>
      <c r="B58" t="s">
        <v>10</v>
      </c>
      <c r="C58" t="s">
        <v>30</v>
      </c>
      <c r="D58">
        <v>174.9</v>
      </c>
      <c r="E58" s="43">
        <v>8.2812499999999983E-2</v>
      </c>
      <c r="G58" t="s">
        <v>176</v>
      </c>
      <c r="H58" t="s">
        <v>10</v>
      </c>
      <c r="I58" t="s">
        <v>33</v>
      </c>
      <c r="J58">
        <v>176.9</v>
      </c>
      <c r="K58" s="14">
        <v>8.1550802139037426E-2</v>
      </c>
      <c r="M58" t="s">
        <v>176</v>
      </c>
      <c r="N58" t="s">
        <v>10</v>
      </c>
      <c r="O58" t="s">
        <v>35</v>
      </c>
      <c r="P58">
        <v>175.6</v>
      </c>
      <c r="Q58" s="14">
        <v>8.2306069838293874E-2</v>
      </c>
      <c r="AL58" t="s">
        <v>176</v>
      </c>
      <c r="AM58" s="2" t="s">
        <v>7</v>
      </c>
      <c r="AN58" s="11" t="s">
        <v>30</v>
      </c>
      <c r="AO58" s="3">
        <v>173.3</v>
      </c>
      <c r="AR58" s="30" t="s">
        <v>176</v>
      </c>
      <c r="AS58" s="2" t="s">
        <v>7</v>
      </c>
      <c r="AT58" s="11" t="s">
        <v>30</v>
      </c>
      <c r="AU58" s="33">
        <v>173.3</v>
      </c>
      <c r="AV58" s="14">
        <v>8.2054924242424235E-2</v>
      </c>
    </row>
    <row r="59" spans="1:48" x14ac:dyDescent="0.3">
      <c r="A59" t="s">
        <v>176</v>
      </c>
      <c r="B59" t="s">
        <v>11</v>
      </c>
      <c r="C59" t="s">
        <v>30</v>
      </c>
      <c r="D59">
        <v>121.9</v>
      </c>
      <c r="E59" s="43">
        <v>5.7717803030303022E-2</v>
      </c>
      <c r="G59" t="s">
        <v>176</v>
      </c>
      <c r="H59" t="s">
        <v>11</v>
      </c>
      <c r="I59" t="s">
        <v>33</v>
      </c>
      <c r="J59">
        <v>124.2</v>
      </c>
      <c r="K59" s="14">
        <v>5.725613129264244E-2</v>
      </c>
      <c r="M59" t="s">
        <v>176</v>
      </c>
      <c r="N59" t="s">
        <v>11</v>
      </c>
      <c r="O59" t="s">
        <v>35</v>
      </c>
      <c r="P59">
        <v>122.7</v>
      </c>
      <c r="Q59" s="14">
        <v>5.751113194281697E-2</v>
      </c>
      <c r="AL59" t="s">
        <v>176</v>
      </c>
      <c r="AM59" s="2" t="s">
        <v>8</v>
      </c>
      <c r="AN59" s="11" t="s">
        <v>30</v>
      </c>
      <c r="AO59" s="3">
        <v>169</v>
      </c>
      <c r="AR59" s="31" t="s">
        <v>176</v>
      </c>
      <c r="AS59" s="2" t="s">
        <v>8</v>
      </c>
      <c r="AT59" s="11" t="s">
        <v>30</v>
      </c>
      <c r="AU59" s="33">
        <v>169</v>
      </c>
      <c r="AV59" s="14">
        <v>8.0018939393939378E-2</v>
      </c>
    </row>
    <row r="60" spans="1:48" x14ac:dyDescent="0.3">
      <c r="A60" t="s">
        <v>176</v>
      </c>
      <c r="B60" t="s">
        <v>12</v>
      </c>
      <c r="C60" t="s">
        <v>30</v>
      </c>
      <c r="D60">
        <v>221</v>
      </c>
      <c r="E60" s="43">
        <v>0.10464015151515149</v>
      </c>
      <c r="G60" t="s">
        <v>176</v>
      </c>
      <c r="H60" t="s">
        <v>12</v>
      </c>
      <c r="I60" t="s">
        <v>33</v>
      </c>
      <c r="J60">
        <v>211.9</v>
      </c>
      <c r="K60" s="14">
        <v>9.7685782777060665E-2</v>
      </c>
      <c r="M60" t="s">
        <v>176</v>
      </c>
      <c r="N60" t="s">
        <v>12</v>
      </c>
      <c r="O60" t="s">
        <v>35</v>
      </c>
      <c r="P60">
        <v>218</v>
      </c>
      <c r="Q60" s="14">
        <v>0.10217951722521677</v>
      </c>
      <c r="AL60" t="s">
        <v>176</v>
      </c>
      <c r="AM60" s="2" t="s">
        <v>9</v>
      </c>
      <c r="AN60" s="11" t="s">
        <v>30</v>
      </c>
      <c r="AO60" s="3">
        <v>148.69999999999999</v>
      </c>
      <c r="AR60" s="30" t="s">
        <v>176</v>
      </c>
      <c r="AS60" s="2" t="s">
        <v>9</v>
      </c>
      <c r="AT60" s="11" t="s">
        <v>30</v>
      </c>
      <c r="AU60" s="33">
        <v>148.69999999999999</v>
      </c>
      <c r="AV60" s="14">
        <v>7.0407196969696953E-2</v>
      </c>
    </row>
    <row r="61" spans="1:48" x14ac:dyDescent="0.3">
      <c r="A61" t="s">
        <v>176</v>
      </c>
      <c r="B61" t="s">
        <v>14</v>
      </c>
      <c r="C61" t="s">
        <v>30</v>
      </c>
      <c r="D61">
        <v>191.1</v>
      </c>
      <c r="E61" s="43">
        <v>9.0482954545454519E-2</v>
      </c>
      <c r="G61" t="s">
        <v>176</v>
      </c>
      <c r="H61" t="s">
        <v>14</v>
      </c>
      <c r="I61" t="s">
        <v>33</v>
      </c>
      <c r="J61">
        <v>197.7</v>
      </c>
      <c r="K61" s="14">
        <v>9.1139590632491219E-2</v>
      </c>
      <c r="M61" t="s">
        <v>176</v>
      </c>
      <c r="N61" t="s">
        <v>14</v>
      </c>
      <c r="O61" t="s">
        <v>35</v>
      </c>
      <c r="P61">
        <v>194.2</v>
      </c>
      <c r="Q61" s="14">
        <v>9.1024138739161001E-2</v>
      </c>
      <c r="AL61" t="s">
        <v>176</v>
      </c>
      <c r="AM61" s="2" t="s">
        <v>10</v>
      </c>
      <c r="AN61" s="11" t="s">
        <v>30</v>
      </c>
      <c r="AO61" s="3">
        <v>174.9</v>
      </c>
      <c r="AR61" s="31" t="s">
        <v>176</v>
      </c>
      <c r="AS61" s="2" t="s">
        <v>10</v>
      </c>
      <c r="AT61" s="11" t="s">
        <v>30</v>
      </c>
      <c r="AU61" s="33">
        <v>174.9</v>
      </c>
      <c r="AV61" s="14">
        <v>8.2812499999999983E-2</v>
      </c>
    </row>
    <row r="62" spans="1:48" x14ac:dyDescent="0.3">
      <c r="A62" t="s">
        <v>176</v>
      </c>
      <c r="B62" t="s">
        <v>15</v>
      </c>
      <c r="C62" t="s">
        <v>30</v>
      </c>
      <c r="D62">
        <v>176.8</v>
      </c>
      <c r="E62" s="43">
        <v>8.3712121212121196E-2</v>
      </c>
      <c r="G62" t="s">
        <v>176</v>
      </c>
      <c r="H62" t="s">
        <v>15</v>
      </c>
      <c r="I62" t="s">
        <v>33</v>
      </c>
      <c r="J62">
        <v>183.1</v>
      </c>
      <c r="K62" s="14">
        <v>8.440899870920153E-2</v>
      </c>
      <c r="M62" t="s">
        <v>176</v>
      </c>
      <c r="N62" t="s">
        <v>15</v>
      </c>
      <c r="O62" t="s">
        <v>35</v>
      </c>
      <c r="P62">
        <v>179.1</v>
      </c>
      <c r="Q62" s="14">
        <v>8.3946566674478557E-2</v>
      </c>
      <c r="AL62" t="s">
        <v>176</v>
      </c>
      <c r="AM62" s="2" t="s">
        <v>11</v>
      </c>
      <c r="AN62" s="11" t="s">
        <v>30</v>
      </c>
      <c r="AO62" s="3">
        <v>121.9</v>
      </c>
      <c r="AR62" s="30" t="s">
        <v>176</v>
      </c>
      <c r="AS62" s="2" t="s">
        <v>11</v>
      </c>
      <c r="AT62" s="11" t="s">
        <v>30</v>
      </c>
      <c r="AU62" s="33">
        <v>121.9</v>
      </c>
      <c r="AV62" s="14">
        <v>5.7717803030303022E-2</v>
      </c>
    </row>
    <row r="63" spans="1:48" x14ac:dyDescent="0.3">
      <c r="AL63" t="s">
        <v>176</v>
      </c>
      <c r="AM63" s="2" t="s">
        <v>12</v>
      </c>
      <c r="AN63" s="11" t="s">
        <v>30</v>
      </c>
      <c r="AO63" s="3">
        <v>221</v>
      </c>
      <c r="AR63" s="31" t="s">
        <v>176</v>
      </c>
      <c r="AS63" s="2" t="s">
        <v>12</v>
      </c>
      <c r="AT63" s="11" t="s">
        <v>30</v>
      </c>
      <c r="AU63" s="33">
        <v>221</v>
      </c>
      <c r="AV63" s="14">
        <v>0.10464015151515149</v>
      </c>
    </row>
    <row r="64" spans="1:48" x14ac:dyDescent="0.3">
      <c r="AL64" t="s">
        <v>178</v>
      </c>
      <c r="AM64" s="2" t="s">
        <v>13</v>
      </c>
      <c r="AN64" s="11" t="s">
        <v>30</v>
      </c>
      <c r="AO64" s="3">
        <v>178.7</v>
      </c>
      <c r="AR64" s="30" t="s">
        <v>176</v>
      </c>
      <c r="AS64" s="2" t="s">
        <v>14</v>
      </c>
      <c r="AT64" s="11" t="s">
        <v>30</v>
      </c>
      <c r="AU64" s="33">
        <v>191.1</v>
      </c>
      <c r="AV64" s="14">
        <v>9.0482954545454519E-2</v>
      </c>
    </row>
    <row r="65" spans="38:48" x14ac:dyDescent="0.3">
      <c r="AL65" t="s">
        <v>176</v>
      </c>
      <c r="AM65" s="2" t="s">
        <v>14</v>
      </c>
      <c r="AN65" s="11" t="s">
        <v>30</v>
      </c>
      <c r="AO65" s="3">
        <v>191.1</v>
      </c>
      <c r="AR65" s="31" t="s">
        <v>176</v>
      </c>
      <c r="AS65" s="2" t="s">
        <v>15</v>
      </c>
      <c r="AT65" s="11" t="s">
        <v>30</v>
      </c>
      <c r="AU65" s="33">
        <v>176.8</v>
      </c>
      <c r="AV65" s="14">
        <v>8.3712121212121196E-2</v>
      </c>
    </row>
    <row r="66" spans="38:48" x14ac:dyDescent="0.3">
      <c r="AL66" t="s">
        <v>176</v>
      </c>
      <c r="AM66" s="2" t="s">
        <v>15</v>
      </c>
      <c r="AN66" s="11" t="s">
        <v>30</v>
      </c>
      <c r="AO66" s="3">
        <v>176.8</v>
      </c>
      <c r="AR66" s="30" t="s">
        <v>176</v>
      </c>
      <c r="AS66" s="2" t="s">
        <v>3</v>
      </c>
      <c r="AT66" s="34" t="s">
        <v>33</v>
      </c>
      <c r="AU66" s="35">
        <v>174.7</v>
      </c>
      <c r="AV66" s="14">
        <v>8.0536603356075959E-2</v>
      </c>
    </row>
    <row r="67" spans="38:48" x14ac:dyDescent="0.3">
      <c r="AL67" t="s">
        <v>178</v>
      </c>
      <c r="AM67" s="2" t="s">
        <v>16</v>
      </c>
      <c r="AN67" s="11" t="s">
        <v>30</v>
      </c>
      <c r="AO67" s="3">
        <v>199.9</v>
      </c>
      <c r="AR67" s="31" t="s">
        <v>176</v>
      </c>
      <c r="AS67" s="2" t="s">
        <v>4</v>
      </c>
      <c r="AT67" s="12" t="s">
        <v>33</v>
      </c>
      <c r="AU67" s="36">
        <v>219.4</v>
      </c>
      <c r="AV67" s="14">
        <v>0.10114327862806563</v>
      </c>
    </row>
    <row r="68" spans="38:48" x14ac:dyDescent="0.3">
      <c r="AL68" t="s">
        <v>17</v>
      </c>
      <c r="AM68" s="2" t="s">
        <v>17</v>
      </c>
      <c r="AN68" s="11" t="s">
        <v>30</v>
      </c>
      <c r="AO68" s="3">
        <v>191.2</v>
      </c>
      <c r="AR68" s="30" t="s">
        <v>176</v>
      </c>
      <c r="AS68" s="2" t="s">
        <v>5</v>
      </c>
      <c r="AT68" s="34" t="s">
        <v>33</v>
      </c>
      <c r="AU68" s="35">
        <v>176.7</v>
      </c>
      <c r="AV68" s="14">
        <v>8.1458602249677284E-2</v>
      </c>
    </row>
    <row r="69" spans="38:48" x14ac:dyDescent="0.3">
      <c r="AL69" t="s">
        <v>17</v>
      </c>
      <c r="AM69" s="2" t="s">
        <v>18</v>
      </c>
      <c r="AN69" s="11" t="s">
        <v>30</v>
      </c>
      <c r="AO69" s="3">
        <v>187.9</v>
      </c>
      <c r="AR69" s="31" t="s">
        <v>176</v>
      </c>
      <c r="AS69" s="2" t="s">
        <v>6</v>
      </c>
      <c r="AT69" s="12" t="s">
        <v>33</v>
      </c>
      <c r="AU69" s="36">
        <v>179.4</v>
      </c>
      <c r="AV69" s="14">
        <v>8.2703300756039086E-2</v>
      </c>
    </row>
    <row r="70" spans="38:48" x14ac:dyDescent="0.3">
      <c r="AL70" t="s">
        <v>17</v>
      </c>
      <c r="AM70" s="2" t="s">
        <v>19</v>
      </c>
      <c r="AN70" s="11" t="s">
        <v>30</v>
      </c>
      <c r="AO70" s="3">
        <v>190.8</v>
      </c>
      <c r="AR70" s="30" t="s">
        <v>176</v>
      </c>
      <c r="AS70" s="2" t="s">
        <v>7</v>
      </c>
      <c r="AT70" s="34" t="s">
        <v>33</v>
      </c>
      <c r="AU70" s="35">
        <v>164.4</v>
      </c>
      <c r="AV70" s="14">
        <v>7.5788309054029127E-2</v>
      </c>
    </row>
    <row r="71" spans="38:48" x14ac:dyDescent="0.3">
      <c r="AL71" t="s">
        <v>20</v>
      </c>
      <c r="AM71" s="2" t="s">
        <v>20</v>
      </c>
      <c r="AN71" s="11" t="s">
        <v>30</v>
      </c>
      <c r="AO71" s="3" t="s">
        <v>139</v>
      </c>
      <c r="AR71" s="31" t="s">
        <v>176</v>
      </c>
      <c r="AS71" s="2" t="s">
        <v>8</v>
      </c>
      <c r="AT71" s="12" t="s">
        <v>33</v>
      </c>
      <c r="AU71" s="36">
        <v>175.8</v>
      </c>
      <c r="AV71" s="14">
        <v>8.1043702747556692E-2</v>
      </c>
    </row>
    <row r="72" spans="38:48" x14ac:dyDescent="0.3">
      <c r="AL72" t="s">
        <v>179</v>
      </c>
      <c r="AM72" s="2" t="s">
        <v>21</v>
      </c>
      <c r="AN72" s="11" t="s">
        <v>30</v>
      </c>
      <c r="AO72" s="3">
        <v>182.5</v>
      </c>
      <c r="AR72" s="30" t="s">
        <v>176</v>
      </c>
      <c r="AS72" s="2" t="s">
        <v>9</v>
      </c>
      <c r="AT72" s="34" t="s">
        <v>33</v>
      </c>
      <c r="AU72" s="35">
        <v>185</v>
      </c>
      <c r="AV72" s="14">
        <v>8.5284897658122805E-2</v>
      </c>
    </row>
    <row r="73" spans="38:48" x14ac:dyDescent="0.3">
      <c r="AL73" t="s">
        <v>20</v>
      </c>
      <c r="AM73" s="2" t="s">
        <v>22</v>
      </c>
      <c r="AN73" s="11" t="s">
        <v>30</v>
      </c>
      <c r="AO73" s="3">
        <v>179.8</v>
      </c>
      <c r="AR73" s="31" t="s">
        <v>176</v>
      </c>
      <c r="AS73" s="2" t="s">
        <v>10</v>
      </c>
      <c r="AT73" s="12" t="s">
        <v>33</v>
      </c>
      <c r="AU73" s="36">
        <v>176.9</v>
      </c>
      <c r="AV73" s="14">
        <v>8.1550802139037426E-2</v>
      </c>
    </row>
    <row r="74" spans="38:48" x14ac:dyDescent="0.3">
      <c r="AL74" t="s">
        <v>23</v>
      </c>
      <c r="AM74" s="2" t="s">
        <v>23</v>
      </c>
      <c r="AN74" s="11" t="s">
        <v>30</v>
      </c>
      <c r="AO74" s="3">
        <v>187.8</v>
      </c>
      <c r="AR74" s="30" t="s">
        <v>176</v>
      </c>
      <c r="AS74" s="2" t="s">
        <v>11</v>
      </c>
      <c r="AT74" s="34" t="s">
        <v>33</v>
      </c>
      <c r="AU74" s="35">
        <v>124.2</v>
      </c>
      <c r="AV74" s="14">
        <v>5.725613129264244E-2</v>
      </c>
    </row>
    <row r="75" spans="38:48" x14ac:dyDescent="0.3">
      <c r="AL75" t="s">
        <v>180</v>
      </c>
      <c r="AM75" s="2" t="s">
        <v>24</v>
      </c>
      <c r="AN75" s="11" t="s">
        <v>30</v>
      </c>
      <c r="AO75" s="3">
        <v>169.7</v>
      </c>
      <c r="AR75" s="31" t="s">
        <v>176</v>
      </c>
      <c r="AS75" s="2" t="s">
        <v>12</v>
      </c>
      <c r="AT75" s="12" t="s">
        <v>33</v>
      </c>
      <c r="AU75" s="36">
        <v>211.9</v>
      </c>
      <c r="AV75" s="14">
        <v>9.7685782777060665E-2</v>
      </c>
    </row>
    <row r="76" spans="38:48" x14ac:dyDescent="0.3">
      <c r="AL76" t="s">
        <v>178</v>
      </c>
      <c r="AM76" s="2" t="s">
        <v>25</v>
      </c>
      <c r="AN76" s="11" t="s">
        <v>30</v>
      </c>
      <c r="AO76" s="3">
        <v>173.8</v>
      </c>
      <c r="AR76" s="30" t="s">
        <v>176</v>
      </c>
      <c r="AS76" s="2" t="s">
        <v>14</v>
      </c>
      <c r="AT76" s="34" t="s">
        <v>33</v>
      </c>
      <c r="AU76" s="35">
        <v>197.7</v>
      </c>
      <c r="AV76" s="14">
        <v>9.1139590632491219E-2</v>
      </c>
    </row>
    <row r="77" spans="38:48" x14ac:dyDescent="0.3">
      <c r="AL77" t="s">
        <v>26</v>
      </c>
      <c r="AM77" s="2" t="s">
        <v>26</v>
      </c>
      <c r="AN77" s="11" t="s">
        <v>30</v>
      </c>
      <c r="AO77" s="3">
        <v>180.3</v>
      </c>
      <c r="AR77" s="31" t="s">
        <v>176</v>
      </c>
      <c r="AS77" s="2" t="s">
        <v>15</v>
      </c>
      <c r="AT77" s="12" t="s">
        <v>33</v>
      </c>
      <c r="AU77" s="36">
        <v>183.1</v>
      </c>
      <c r="AV77" s="14">
        <v>8.440899870920153E-2</v>
      </c>
    </row>
    <row r="78" spans="38:48" x14ac:dyDescent="0.3">
      <c r="AL78" t="s">
        <v>181</v>
      </c>
      <c r="AM78" s="2" t="s">
        <v>27</v>
      </c>
      <c r="AN78" s="11" t="s">
        <v>30</v>
      </c>
      <c r="AO78" s="3">
        <v>184.9</v>
      </c>
      <c r="AR78" s="30" t="s">
        <v>176</v>
      </c>
      <c r="AS78" s="2" t="s">
        <v>3</v>
      </c>
      <c r="AT78" s="11" t="s">
        <v>35</v>
      </c>
      <c r="AU78" s="33">
        <v>173.7</v>
      </c>
      <c r="AV78" s="14">
        <v>8.1415514412936485E-2</v>
      </c>
    </row>
    <row r="79" spans="38:48" x14ac:dyDescent="0.3">
      <c r="AL79" t="s">
        <v>182</v>
      </c>
      <c r="AM79" s="2" t="s">
        <v>28</v>
      </c>
      <c r="AN79" s="11" t="s">
        <v>30</v>
      </c>
      <c r="AO79" s="3">
        <v>179.5</v>
      </c>
      <c r="AR79" s="31" t="s">
        <v>176</v>
      </c>
      <c r="AS79" s="2" t="s">
        <v>4</v>
      </c>
      <c r="AT79" s="11" t="s">
        <v>35</v>
      </c>
      <c r="AU79" s="33">
        <v>214.3</v>
      </c>
      <c r="AV79" s="14">
        <v>0.10044527771267871</v>
      </c>
    </row>
    <row r="80" spans="38:48" x14ac:dyDescent="0.3">
      <c r="AL80" t="s">
        <v>176</v>
      </c>
      <c r="AM80" s="2" t="s">
        <v>3</v>
      </c>
      <c r="AN80" s="12" t="s">
        <v>33</v>
      </c>
      <c r="AO80" s="4">
        <v>174.7</v>
      </c>
      <c r="AR80" s="30" t="s">
        <v>176</v>
      </c>
      <c r="AS80" s="2" t="s">
        <v>5</v>
      </c>
      <c r="AT80" s="11" t="s">
        <v>35</v>
      </c>
      <c r="AU80" s="33">
        <v>173.2</v>
      </c>
      <c r="AV80" s="14">
        <v>8.1181157722052963E-2</v>
      </c>
    </row>
    <row r="81" spans="38:48" x14ac:dyDescent="0.3">
      <c r="AL81" t="s">
        <v>176</v>
      </c>
      <c r="AM81" s="2" t="s">
        <v>4</v>
      </c>
      <c r="AN81" s="12" t="s">
        <v>33</v>
      </c>
      <c r="AO81" s="4">
        <v>219.4</v>
      </c>
      <c r="AR81" s="31" t="s">
        <v>176</v>
      </c>
      <c r="AS81" s="2" t="s">
        <v>6</v>
      </c>
      <c r="AT81" s="11" t="s">
        <v>35</v>
      </c>
      <c r="AU81" s="33">
        <v>179.5</v>
      </c>
      <c r="AV81" s="14">
        <v>8.413405202718538E-2</v>
      </c>
    </row>
    <row r="82" spans="38:48" x14ac:dyDescent="0.3">
      <c r="AM82" s="2"/>
      <c r="AN82" s="11"/>
      <c r="AO82" s="3"/>
      <c r="AR82" s="31"/>
      <c r="AS82" s="2"/>
      <c r="AT82" s="11"/>
      <c r="AU82" s="33"/>
      <c r="AV82" s="14"/>
    </row>
    <row r="83" spans="38:48" x14ac:dyDescent="0.3">
      <c r="AM83" s="2"/>
      <c r="AN83" s="11"/>
      <c r="AO83" s="3"/>
      <c r="AR83" s="31"/>
      <c r="AS83" s="2"/>
      <c r="AT83" s="11"/>
      <c r="AU83" s="33"/>
      <c r="AV83" s="14"/>
    </row>
    <row r="84" spans="38:48" x14ac:dyDescent="0.3">
      <c r="AM84" s="2"/>
      <c r="AN84" s="11"/>
      <c r="AO84" s="3"/>
      <c r="AR84" s="31"/>
      <c r="AS84" s="2"/>
      <c r="AT84" s="11"/>
      <c r="AU84" s="33"/>
      <c r="AV84" s="14"/>
    </row>
    <row r="85" spans="38:48" x14ac:dyDescent="0.3">
      <c r="AM85" s="2"/>
      <c r="AN85" s="11"/>
      <c r="AO85" s="3"/>
      <c r="AR85" s="31"/>
      <c r="AS85" s="2"/>
      <c r="AT85" s="11"/>
      <c r="AU85" s="33"/>
      <c r="AV85" s="14"/>
    </row>
    <row r="86" spans="38:48" x14ac:dyDescent="0.3">
      <c r="AM86" s="2"/>
      <c r="AN86" s="11"/>
      <c r="AO86" s="3"/>
      <c r="AR86" s="31"/>
      <c r="AS86" s="2"/>
      <c r="AT86" s="11"/>
      <c r="AU86" s="33"/>
      <c r="AV86" s="14"/>
    </row>
    <row r="87" spans="38:48" x14ac:dyDescent="0.3">
      <c r="AM87" s="2"/>
      <c r="AN87" s="11"/>
      <c r="AO87" s="3"/>
      <c r="AR87" s="31"/>
      <c r="AS87" s="2"/>
      <c r="AT87" s="11"/>
      <c r="AU87" s="33"/>
      <c r="AV87" s="14"/>
    </row>
    <row r="88" spans="38:48" ht="12.6" customHeight="1" x14ac:dyDescent="0.3">
      <c r="AM88" s="2"/>
      <c r="AN88" s="11"/>
      <c r="AO88" s="3"/>
      <c r="AR88" s="31"/>
      <c r="AS88" s="2"/>
      <c r="AT88" s="11"/>
      <c r="AU88" s="33"/>
      <c r="AV88" s="14"/>
    </row>
    <row r="89" spans="38:48" ht="12.6" customHeight="1" x14ac:dyDescent="0.3">
      <c r="AM89" s="2"/>
      <c r="AN89" s="11"/>
      <c r="AO89" s="3"/>
      <c r="AR89" s="31"/>
      <c r="AS89" s="2"/>
      <c r="AT89" s="11"/>
      <c r="AU89" s="33"/>
      <c r="AV89" s="14"/>
    </row>
    <row r="90" spans="38:48" ht="12.6" customHeight="1" x14ac:dyDescent="0.3">
      <c r="AM90" s="2"/>
      <c r="AN90" s="11"/>
      <c r="AO90" s="3"/>
      <c r="AR90" s="31"/>
      <c r="AS90" s="2"/>
      <c r="AT90" s="11"/>
      <c r="AU90" s="33"/>
      <c r="AV90" s="14"/>
    </row>
    <row r="91" spans="38:48" ht="12.6" customHeight="1" x14ac:dyDescent="0.3">
      <c r="AM91" s="2"/>
      <c r="AN91" s="11"/>
      <c r="AO91" s="3"/>
      <c r="AR91" s="31"/>
      <c r="AS91" s="2"/>
      <c r="AT91" s="11"/>
      <c r="AU91" s="33"/>
      <c r="AV91" s="14"/>
    </row>
    <row r="92" spans="38:48" ht="12.6" customHeight="1" x14ac:dyDescent="0.3">
      <c r="AM92" s="2"/>
      <c r="AN92" s="11"/>
      <c r="AO92" s="3"/>
      <c r="AR92" s="31"/>
      <c r="AS92" s="2"/>
      <c r="AT92" s="11"/>
      <c r="AU92" s="33"/>
      <c r="AV92" s="14"/>
    </row>
    <row r="93" spans="38:48" ht="12.6" customHeight="1" x14ac:dyDescent="0.3">
      <c r="AM93" s="2"/>
      <c r="AN93" s="11"/>
      <c r="AO93" s="3"/>
      <c r="AR93" s="31"/>
      <c r="AS93" s="2"/>
      <c r="AT93" s="11"/>
      <c r="AU93" s="33"/>
      <c r="AV93" s="14"/>
    </row>
    <row r="94" spans="38:48" ht="12.6" customHeight="1" x14ac:dyDescent="0.3">
      <c r="AM94" s="2"/>
      <c r="AN94" s="11"/>
      <c r="AO94" s="3"/>
      <c r="AR94" s="31"/>
      <c r="AS94" s="2"/>
      <c r="AT94" s="11"/>
      <c r="AU94" s="33"/>
      <c r="AV94" s="14"/>
    </row>
    <row r="95" spans="38:48" ht="12.6" customHeight="1" x14ac:dyDescent="0.3">
      <c r="AM95" s="2"/>
      <c r="AN95" s="11"/>
      <c r="AO95" s="3"/>
      <c r="AR95" s="31"/>
      <c r="AS95" s="2"/>
      <c r="AT95" s="11"/>
      <c r="AU95" s="33"/>
      <c r="AV95" s="14"/>
    </row>
    <row r="96" spans="38:48" ht="12.6" customHeight="1" x14ac:dyDescent="0.3">
      <c r="AM96" s="2"/>
      <c r="AN96" s="11"/>
      <c r="AO96" s="3"/>
      <c r="AR96" s="31"/>
      <c r="AS96" s="2"/>
      <c r="AT96" s="11"/>
      <c r="AU96" s="33"/>
      <c r="AV96" s="14"/>
    </row>
    <row r="97" spans="4:48" ht="12.6" customHeight="1" x14ac:dyDescent="0.3">
      <c r="AM97" s="2"/>
      <c r="AN97" s="11"/>
      <c r="AO97" s="3"/>
      <c r="AR97" s="31"/>
      <c r="AS97" s="2"/>
      <c r="AT97" s="11"/>
      <c r="AU97" s="33"/>
      <c r="AV97" s="14"/>
    </row>
    <row r="98" spans="4:48" ht="12.6" customHeight="1" x14ac:dyDescent="0.3">
      <c r="AM98" s="2"/>
      <c r="AN98" s="11"/>
      <c r="AO98" s="3"/>
      <c r="AR98" s="31"/>
      <c r="AS98" s="2"/>
      <c r="AT98" s="11"/>
      <c r="AU98" s="33"/>
      <c r="AV98" s="14"/>
    </row>
    <row r="99" spans="4:48" ht="12.6" customHeight="1" x14ac:dyDescent="0.3">
      <c r="AM99" s="2"/>
      <c r="AN99" s="11"/>
      <c r="AO99" s="3"/>
      <c r="AR99" s="31"/>
      <c r="AS99" s="2"/>
      <c r="AT99" s="11"/>
      <c r="AU99" s="33"/>
      <c r="AV99" s="14"/>
    </row>
    <row r="100" spans="4:48" ht="12.6" customHeight="1" x14ac:dyDescent="0.3">
      <c r="AM100" s="2"/>
      <c r="AN100" s="11"/>
      <c r="AO100" s="3"/>
      <c r="AR100" s="31"/>
      <c r="AS100" s="2"/>
      <c r="AT100" s="11"/>
      <c r="AU100" s="33"/>
      <c r="AV100" s="14"/>
    </row>
    <row r="101" spans="4:48" x14ac:dyDescent="0.3">
      <c r="AM101" s="2"/>
      <c r="AN101" s="11"/>
      <c r="AO101" s="3"/>
      <c r="AR101" s="31"/>
      <c r="AS101" s="2"/>
      <c r="AT101" s="11"/>
      <c r="AU101" s="33"/>
      <c r="AV101" s="14"/>
    </row>
    <row r="102" spans="4:48" x14ac:dyDescent="0.3">
      <c r="AM102" s="2"/>
      <c r="AN102" s="11"/>
      <c r="AO102" s="3"/>
      <c r="AR102" s="31"/>
      <c r="AS102" s="2"/>
      <c r="AT102" s="11"/>
      <c r="AU102" s="33"/>
      <c r="AV102" s="14"/>
    </row>
    <row r="103" spans="4:48" x14ac:dyDescent="0.3">
      <c r="F103" s="82" t="s">
        <v>178</v>
      </c>
      <c r="G103" s="83"/>
      <c r="H103" s="83"/>
      <c r="AM103" s="2"/>
      <c r="AN103" s="11"/>
      <c r="AO103" s="3"/>
      <c r="AR103" s="31"/>
      <c r="AS103" s="2"/>
      <c r="AT103" s="11"/>
      <c r="AU103" s="33"/>
      <c r="AV103" s="14"/>
    </row>
    <row r="104" spans="4:48" x14ac:dyDescent="0.3">
      <c r="F104" s="83"/>
      <c r="G104" s="83"/>
      <c r="H104" s="83"/>
      <c r="AL104" t="s">
        <v>176</v>
      </c>
      <c r="AM104" s="2" t="s">
        <v>5</v>
      </c>
      <c r="AN104" s="12" t="s">
        <v>33</v>
      </c>
      <c r="AO104" s="4">
        <v>176.7</v>
      </c>
      <c r="AR104" s="30" t="s">
        <v>176</v>
      </c>
      <c r="AS104" s="2" t="s">
        <v>7</v>
      </c>
      <c r="AT104" s="11" t="s">
        <v>35</v>
      </c>
      <c r="AU104" s="33">
        <v>170</v>
      </c>
      <c r="AV104" s="14">
        <v>7.9681274900398405E-2</v>
      </c>
    </row>
    <row r="105" spans="4:48" x14ac:dyDescent="0.3">
      <c r="D105" s="39" t="s">
        <v>171</v>
      </c>
      <c r="E105" s="44" t="s">
        <v>245</v>
      </c>
      <c r="F105" s="38" t="s">
        <v>241</v>
      </c>
      <c r="G105" t="s">
        <v>256</v>
      </c>
      <c r="H105" s="38" t="s">
        <v>242</v>
      </c>
      <c r="I105" t="s">
        <v>257</v>
      </c>
      <c r="J105" s="38" t="s">
        <v>243</v>
      </c>
      <c r="K105" t="s">
        <v>258</v>
      </c>
      <c r="AL105" t="s">
        <v>176</v>
      </c>
      <c r="AM105" s="2" t="s">
        <v>6</v>
      </c>
      <c r="AN105" s="12" t="s">
        <v>33</v>
      </c>
      <c r="AO105" s="4">
        <v>179.4</v>
      </c>
      <c r="AR105" s="31" t="s">
        <v>176</v>
      </c>
      <c r="AS105" s="2" t="s">
        <v>8</v>
      </c>
      <c r="AT105" s="11" t="s">
        <v>35</v>
      </c>
      <c r="AU105" s="33">
        <v>172.2</v>
      </c>
      <c r="AV105" s="14">
        <v>8.0712444340285905E-2</v>
      </c>
    </row>
    <row r="106" spans="4:48" x14ac:dyDescent="0.3">
      <c r="D106" t="s">
        <v>166</v>
      </c>
      <c r="E106" t="s">
        <v>13</v>
      </c>
      <c r="F106">
        <v>178.7</v>
      </c>
      <c r="G106" s="14">
        <f>F106/$F$110</f>
        <v>0.24237081242370809</v>
      </c>
      <c r="H106">
        <v>165.9</v>
      </c>
      <c r="I106" s="14">
        <f>H106/$H$110</f>
        <v>0.22885915298661885</v>
      </c>
      <c r="J106">
        <v>173.4</v>
      </c>
      <c r="K106" s="14">
        <f>J106/$J$110</f>
        <v>0.23727422003284074</v>
      </c>
      <c r="AL106" t="s">
        <v>176</v>
      </c>
      <c r="AM106" s="2" t="s">
        <v>7</v>
      </c>
      <c r="AN106" s="12" t="s">
        <v>33</v>
      </c>
      <c r="AO106" s="4">
        <v>164.4</v>
      </c>
      <c r="AR106" s="30" t="s">
        <v>176</v>
      </c>
      <c r="AS106" s="2" t="s">
        <v>9</v>
      </c>
      <c r="AT106" s="11" t="s">
        <v>35</v>
      </c>
      <c r="AU106" s="33">
        <v>161</v>
      </c>
      <c r="AV106" s="14">
        <v>7.5462854464494966E-2</v>
      </c>
    </row>
    <row r="107" spans="4:48" x14ac:dyDescent="0.3">
      <c r="D107" t="s">
        <v>166</v>
      </c>
      <c r="E107" t="s">
        <v>16</v>
      </c>
      <c r="F107">
        <v>199.9</v>
      </c>
      <c r="G107" s="14">
        <f>F107/$F$110</f>
        <v>0.27112437271124373</v>
      </c>
      <c r="H107">
        <v>204.2</v>
      </c>
      <c r="I107" s="14">
        <f>H107/$H$110</f>
        <v>0.28169402676231203</v>
      </c>
      <c r="J107">
        <v>201</v>
      </c>
      <c r="K107" s="14">
        <f>J107/$J$110</f>
        <v>0.27504105090311987</v>
      </c>
      <c r="AL107" t="s">
        <v>176</v>
      </c>
      <c r="AM107" s="2" t="s">
        <v>8</v>
      </c>
      <c r="AN107" s="12" t="s">
        <v>33</v>
      </c>
      <c r="AO107" s="4">
        <v>175.8</v>
      </c>
      <c r="AR107" s="31" t="s">
        <v>176</v>
      </c>
      <c r="AS107" s="2" t="s">
        <v>10</v>
      </c>
      <c r="AT107" s="11" t="s">
        <v>35</v>
      </c>
      <c r="AU107" s="33">
        <v>175.6</v>
      </c>
      <c r="AV107" s="14">
        <v>8.2306069838293874E-2</v>
      </c>
    </row>
    <row r="108" spans="4:48" x14ac:dyDescent="0.3">
      <c r="D108" t="s">
        <v>166</v>
      </c>
      <c r="E108" t="s">
        <v>25</v>
      </c>
      <c r="F108">
        <v>173.8</v>
      </c>
      <c r="G108" s="14">
        <f>F108/$F$110</f>
        <v>0.23572494235724942</v>
      </c>
      <c r="H108">
        <v>169.2</v>
      </c>
      <c r="I108" s="14">
        <f>H108/$H$110</f>
        <v>0.23341150503517727</v>
      </c>
      <c r="J108">
        <v>171.2</v>
      </c>
      <c r="K108" s="14">
        <f>J108/$J$110</f>
        <v>0.23426382047071703</v>
      </c>
      <c r="AL108" t="s">
        <v>176</v>
      </c>
      <c r="AM108" s="2" t="s">
        <v>9</v>
      </c>
      <c r="AN108" s="12" t="s">
        <v>33</v>
      </c>
      <c r="AO108" s="4">
        <v>185</v>
      </c>
      <c r="AR108" s="30" t="s">
        <v>176</v>
      </c>
      <c r="AS108" s="2" t="s">
        <v>11</v>
      </c>
      <c r="AT108" s="11" t="s">
        <v>35</v>
      </c>
      <c r="AU108" s="33">
        <v>122.7</v>
      </c>
      <c r="AV108" s="14">
        <v>5.751113194281697E-2</v>
      </c>
    </row>
    <row r="109" spans="4:48" x14ac:dyDescent="0.3">
      <c r="D109" t="s">
        <v>169</v>
      </c>
      <c r="E109" t="s">
        <v>27</v>
      </c>
      <c r="F109">
        <v>184.9</v>
      </c>
      <c r="G109" s="14">
        <f>F109/$F$110</f>
        <v>0.25077987250779871</v>
      </c>
      <c r="H109">
        <v>185.6</v>
      </c>
      <c r="I109" s="14">
        <f>H109/$H$110</f>
        <v>0.25603531521589185</v>
      </c>
      <c r="J109">
        <v>185.2</v>
      </c>
      <c r="K109" s="14">
        <f>J109/$J$110</f>
        <v>0.25342090859332239</v>
      </c>
      <c r="AL109" t="s">
        <v>176</v>
      </c>
      <c r="AM109" s="2" t="s">
        <v>10</v>
      </c>
      <c r="AN109" s="12" t="s">
        <v>33</v>
      </c>
      <c r="AO109" s="4">
        <v>176.9</v>
      </c>
      <c r="AR109" s="31" t="s">
        <v>176</v>
      </c>
      <c r="AS109" s="2" t="s">
        <v>12</v>
      </c>
      <c r="AT109" s="11" t="s">
        <v>35</v>
      </c>
      <c r="AU109" s="33">
        <v>218</v>
      </c>
      <c r="AV109" s="14">
        <v>0.10217951722521677</v>
      </c>
    </row>
    <row r="110" spans="4:48" x14ac:dyDescent="0.3">
      <c r="D110" t="s">
        <v>139</v>
      </c>
      <c r="E110" t="s">
        <v>139</v>
      </c>
      <c r="F110">
        <f>SUM(F106:F109)</f>
        <v>737.30000000000007</v>
      </c>
      <c r="G110" s="14">
        <f>F110/$F$110</f>
        <v>1</v>
      </c>
      <c r="H110">
        <f>SUM(H106:H109)</f>
        <v>724.9</v>
      </c>
      <c r="I110" s="14">
        <f>H110/$H$110</f>
        <v>1</v>
      </c>
      <c r="J110">
        <f>SUM(J106:J109)</f>
        <v>730.8</v>
      </c>
      <c r="K110" s="14">
        <f>J110/$J$110</f>
        <v>1</v>
      </c>
      <c r="AL110" t="s">
        <v>176</v>
      </c>
      <c r="AM110" s="2" t="s">
        <v>11</v>
      </c>
      <c r="AN110" s="12" t="s">
        <v>33</v>
      </c>
      <c r="AO110" s="4">
        <v>124.2</v>
      </c>
      <c r="AR110" s="30" t="s">
        <v>176</v>
      </c>
      <c r="AS110" s="2" t="s">
        <v>14</v>
      </c>
      <c r="AT110" s="11" t="s">
        <v>35</v>
      </c>
      <c r="AU110" s="33">
        <v>194.2</v>
      </c>
      <c r="AV110" s="14">
        <v>9.1024138739161001E-2</v>
      </c>
    </row>
    <row r="111" spans="4:48" x14ac:dyDescent="0.3">
      <c r="G111" s="14"/>
      <c r="I111" s="14"/>
      <c r="K111" s="14"/>
      <c r="AM111" s="2"/>
      <c r="AN111" s="11"/>
      <c r="AO111" s="3"/>
      <c r="AR111" s="30"/>
      <c r="AS111" s="2"/>
      <c r="AT111" s="11"/>
      <c r="AU111" s="33"/>
      <c r="AV111" s="14"/>
    </row>
    <row r="112" spans="4:48" x14ac:dyDescent="0.3">
      <c r="G112" s="14"/>
      <c r="I112" s="14"/>
      <c r="K112" s="14"/>
      <c r="AM112" s="2"/>
      <c r="AN112" s="11"/>
      <c r="AO112" s="3"/>
      <c r="AR112" s="30"/>
      <c r="AS112" s="2"/>
      <c r="AT112" s="11"/>
      <c r="AU112" s="33"/>
      <c r="AV112" s="14"/>
    </row>
    <row r="113" spans="7:48" x14ac:dyDescent="0.3">
      <c r="G113" s="14"/>
      <c r="I113" s="14"/>
      <c r="K113" s="14"/>
      <c r="AM113" s="2"/>
      <c r="AN113" s="11"/>
      <c r="AO113" s="3"/>
      <c r="AR113" s="30"/>
      <c r="AS113" s="2"/>
      <c r="AT113" s="11"/>
      <c r="AU113" s="33"/>
      <c r="AV113" s="14"/>
    </row>
    <row r="114" spans="7:48" x14ac:dyDescent="0.3">
      <c r="G114" s="14"/>
      <c r="I114" s="14"/>
      <c r="K114" s="14"/>
      <c r="AM114" s="2"/>
      <c r="AN114" s="11"/>
      <c r="AO114" s="3"/>
      <c r="AR114" s="30"/>
      <c r="AS114" s="2"/>
      <c r="AT114" s="11"/>
      <c r="AU114" s="33"/>
      <c r="AV114" s="14"/>
    </row>
    <row r="115" spans="7:48" x14ac:dyDescent="0.3">
      <c r="G115" s="14"/>
      <c r="I115" s="14"/>
      <c r="K115" s="14"/>
      <c r="AM115" s="2"/>
      <c r="AN115" s="11"/>
      <c r="AO115" s="3"/>
      <c r="AR115" s="30"/>
      <c r="AS115" s="2"/>
      <c r="AT115" s="11"/>
      <c r="AU115" s="33"/>
      <c r="AV115" s="14"/>
    </row>
    <row r="116" spans="7:48" x14ac:dyDescent="0.3">
      <c r="G116" s="14"/>
      <c r="I116" s="14"/>
      <c r="K116" s="14"/>
      <c r="AM116" s="2"/>
      <c r="AN116" s="11"/>
      <c r="AO116" s="3"/>
      <c r="AR116" s="30"/>
      <c r="AS116" s="2"/>
      <c r="AT116" s="11"/>
      <c r="AU116" s="33"/>
      <c r="AV116" s="14"/>
    </row>
    <row r="117" spans="7:48" x14ac:dyDescent="0.3">
      <c r="G117" s="14"/>
      <c r="I117" s="14"/>
      <c r="K117" s="14"/>
      <c r="AM117" s="2"/>
      <c r="AN117" s="11"/>
      <c r="AO117" s="3"/>
      <c r="AR117" s="30"/>
      <c r="AS117" s="2"/>
      <c r="AT117" s="11"/>
      <c r="AU117" s="33"/>
      <c r="AV117" s="14"/>
    </row>
    <row r="118" spans="7:48" x14ac:dyDescent="0.3">
      <c r="G118" s="14"/>
      <c r="I118" s="14"/>
      <c r="K118" s="14"/>
      <c r="AM118" s="2"/>
      <c r="AN118" s="11"/>
      <c r="AO118" s="3"/>
      <c r="AR118" s="30"/>
      <c r="AS118" s="2"/>
      <c r="AT118" s="11"/>
      <c r="AU118" s="33"/>
      <c r="AV118" s="14"/>
    </row>
    <row r="119" spans="7:48" x14ac:dyDescent="0.3">
      <c r="G119" s="14"/>
      <c r="I119" s="14"/>
      <c r="K119" s="14"/>
      <c r="AM119" s="2"/>
      <c r="AN119" s="11"/>
      <c r="AO119" s="3"/>
      <c r="AR119" s="30"/>
      <c r="AS119" s="2"/>
      <c r="AT119" s="11"/>
      <c r="AU119" s="33"/>
      <c r="AV119" s="14"/>
    </row>
    <row r="120" spans="7:48" x14ac:dyDescent="0.3">
      <c r="G120" s="14"/>
      <c r="I120" s="14"/>
      <c r="K120" s="14"/>
      <c r="AM120" s="2"/>
      <c r="AN120" s="11"/>
      <c r="AO120" s="3"/>
      <c r="AR120" s="30"/>
      <c r="AS120" s="2"/>
      <c r="AT120" s="11"/>
      <c r="AU120" s="33"/>
      <c r="AV120" s="14"/>
    </row>
    <row r="121" spans="7:48" x14ac:dyDescent="0.3">
      <c r="G121" s="14"/>
      <c r="I121" s="14"/>
      <c r="K121" s="14"/>
      <c r="AM121" s="2"/>
      <c r="AN121" s="11"/>
      <c r="AO121" s="3"/>
      <c r="AR121" s="30"/>
      <c r="AS121" s="2"/>
      <c r="AT121" s="11"/>
      <c r="AU121" s="33"/>
      <c r="AV121" s="14"/>
    </row>
    <row r="122" spans="7:48" x14ac:dyDescent="0.3">
      <c r="AL122" t="s">
        <v>176</v>
      </c>
      <c r="AM122" s="2" t="s">
        <v>12</v>
      </c>
      <c r="AN122" s="12" t="s">
        <v>33</v>
      </c>
      <c r="AO122" s="4">
        <v>211.9</v>
      </c>
      <c r="AR122" s="31" t="s">
        <v>176</v>
      </c>
      <c r="AS122" s="2" t="s">
        <v>15</v>
      </c>
      <c r="AT122" s="11" t="s">
        <v>35</v>
      </c>
      <c r="AU122" s="33">
        <v>179.1</v>
      </c>
      <c r="AV122" s="14">
        <v>8.3946566674478557E-2</v>
      </c>
    </row>
    <row r="123" spans="7:48" x14ac:dyDescent="0.3">
      <c r="AL123" t="s">
        <v>178</v>
      </c>
      <c r="AM123" s="2" t="s">
        <v>13</v>
      </c>
      <c r="AN123" s="12" t="s">
        <v>33</v>
      </c>
      <c r="AO123" s="4">
        <v>165.9</v>
      </c>
    </row>
    <row r="124" spans="7:48" x14ac:dyDescent="0.3">
      <c r="AL124" t="s">
        <v>176</v>
      </c>
      <c r="AM124" s="2" t="s">
        <v>14</v>
      </c>
      <c r="AN124" s="12" t="s">
        <v>33</v>
      </c>
      <c r="AO124" s="4">
        <v>197.7</v>
      </c>
    </row>
    <row r="125" spans="7:48" x14ac:dyDescent="0.3">
      <c r="AL125" t="s">
        <v>176</v>
      </c>
      <c r="AM125" s="2" t="s">
        <v>15</v>
      </c>
      <c r="AN125" s="12" t="s">
        <v>33</v>
      </c>
      <c r="AO125" s="4">
        <v>183.1</v>
      </c>
    </row>
    <row r="126" spans="7:48" x14ac:dyDescent="0.3">
      <c r="AL126" t="s">
        <v>178</v>
      </c>
      <c r="AM126" s="2" t="s">
        <v>16</v>
      </c>
      <c r="AN126" s="12" t="s">
        <v>33</v>
      </c>
      <c r="AO126" s="4">
        <v>204.2</v>
      </c>
    </row>
    <row r="127" spans="7:48" x14ac:dyDescent="0.3">
      <c r="AL127" t="s">
        <v>17</v>
      </c>
      <c r="AM127" s="2" t="s">
        <v>17</v>
      </c>
      <c r="AN127" s="12" t="s">
        <v>33</v>
      </c>
      <c r="AO127" s="4">
        <v>181.3</v>
      </c>
    </row>
    <row r="128" spans="7:48" x14ac:dyDescent="0.3">
      <c r="AL128" t="s">
        <v>17</v>
      </c>
      <c r="AM128" s="2" t="s">
        <v>18</v>
      </c>
      <c r="AN128" s="12" t="s">
        <v>33</v>
      </c>
      <c r="AO128" s="4">
        <v>168.1</v>
      </c>
    </row>
    <row r="129" spans="4:41" x14ac:dyDescent="0.3">
      <c r="AL129" t="s">
        <v>17</v>
      </c>
      <c r="AM129" s="2" t="s">
        <v>19</v>
      </c>
      <c r="AN129" s="12" t="s">
        <v>33</v>
      </c>
      <c r="AO129" s="4">
        <v>179.3</v>
      </c>
    </row>
    <row r="130" spans="4:41" x14ac:dyDescent="0.3">
      <c r="AL130" t="s">
        <v>20</v>
      </c>
      <c r="AM130" s="2" t="s">
        <v>20</v>
      </c>
      <c r="AN130" s="12" t="s">
        <v>33</v>
      </c>
      <c r="AO130" s="4">
        <v>175.6</v>
      </c>
    </row>
    <row r="131" spans="4:41" x14ac:dyDescent="0.3">
      <c r="AL131" t="s">
        <v>179</v>
      </c>
      <c r="AM131" s="2" t="s">
        <v>21</v>
      </c>
      <c r="AN131" s="12" t="s">
        <v>33</v>
      </c>
      <c r="AO131" s="4">
        <v>183.4</v>
      </c>
    </row>
    <row r="132" spans="4:41" x14ac:dyDescent="0.3">
      <c r="AL132" t="s">
        <v>20</v>
      </c>
      <c r="AM132" s="2" t="s">
        <v>22</v>
      </c>
      <c r="AN132" s="12" t="s">
        <v>33</v>
      </c>
      <c r="AO132" s="4">
        <v>170.1</v>
      </c>
    </row>
    <row r="133" spans="4:41" x14ac:dyDescent="0.3">
      <c r="AL133" t="s">
        <v>23</v>
      </c>
      <c r="AM133" s="2" t="s">
        <v>23</v>
      </c>
      <c r="AN133" s="12" t="s">
        <v>33</v>
      </c>
      <c r="AO133" s="4">
        <v>182.2</v>
      </c>
    </row>
    <row r="134" spans="4:41" x14ac:dyDescent="0.3">
      <c r="AL134" t="s">
        <v>180</v>
      </c>
      <c r="AM134" s="2" t="s">
        <v>24</v>
      </c>
      <c r="AN134" s="12" t="s">
        <v>33</v>
      </c>
      <c r="AO134" s="4">
        <v>160.4</v>
      </c>
    </row>
    <row r="135" spans="4:41" x14ac:dyDescent="0.3">
      <c r="AL135" t="s">
        <v>178</v>
      </c>
      <c r="AM135" s="2" t="s">
        <v>25</v>
      </c>
      <c r="AN135" s="12" t="s">
        <v>33</v>
      </c>
      <c r="AO135" s="4">
        <v>169.2</v>
      </c>
    </row>
    <row r="136" spans="4:41" x14ac:dyDescent="0.3">
      <c r="AL136" t="s">
        <v>26</v>
      </c>
      <c r="AM136" s="2" t="s">
        <v>26</v>
      </c>
      <c r="AN136" s="12" t="s">
        <v>33</v>
      </c>
      <c r="AO136" s="4">
        <v>174.8</v>
      </c>
    </row>
    <row r="137" spans="4:41" x14ac:dyDescent="0.3">
      <c r="AL137" t="s">
        <v>181</v>
      </c>
      <c r="AM137" s="2" t="s">
        <v>27</v>
      </c>
      <c r="AN137" s="12" t="s">
        <v>33</v>
      </c>
      <c r="AO137" s="4">
        <v>185.6</v>
      </c>
    </row>
    <row r="138" spans="4:41" x14ac:dyDescent="0.3">
      <c r="AL138" t="s">
        <v>182</v>
      </c>
      <c r="AM138" s="2" t="s">
        <v>28</v>
      </c>
      <c r="AN138" s="12" t="s">
        <v>33</v>
      </c>
      <c r="AO138" s="4">
        <v>171.6</v>
      </c>
    </row>
    <row r="139" spans="4:41" ht="14.4" customHeight="1" x14ac:dyDescent="0.3">
      <c r="AM139" s="2"/>
      <c r="AN139" s="11"/>
      <c r="AO139" s="3"/>
    </row>
    <row r="140" spans="4:41" x14ac:dyDescent="0.3">
      <c r="AL140" t="s">
        <v>176</v>
      </c>
      <c r="AM140" s="2" t="s">
        <v>3</v>
      </c>
      <c r="AN140" s="11" t="s">
        <v>35</v>
      </c>
      <c r="AO140" s="3">
        <v>173.7</v>
      </c>
    </row>
    <row r="141" spans="4:41" x14ac:dyDescent="0.3">
      <c r="F141" s="82" t="s">
        <v>17</v>
      </c>
      <c r="G141" s="83"/>
      <c r="H141" s="83"/>
      <c r="AL141" t="s">
        <v>176</v>
      </c>
      <c r="AM141" s="2" t="s">
        <v>8</v>
      </c>
      <c r="AN141" s="11" t="s">
        <v>35</v>
      </c>
      <c r="AO141" s="3">
        <v>172.2</v>
      </c>
    </row>
    <row r="142" spans="4:41" x14ac:dyDescent="0.3">
      <c r="F142" s="83"/>
      <c r="G142" s="83"/>
      <c r="H142" s="83"/>
      <c r="I142" s="14"/>
      <c r="K142" s="14"/>
      <c r="AM142" s="2"/>
      <c r="AN142" s="11"/>
      <c r="AO142" s="3"/>
    </row>
    <row r="143" spans="4:41" x14ac:dyDescent="0.3">
      <c r="D143" s="46" t="s">
        <v>171</v>
      </c>
      <c r="E143" s="44" t="s">
        <v>245</v>
      </c>
      <c r="F143" s="38" t="s">
        <v>241</v>
      </c>
      <c r="G143" s="45" t="s">
        <v>246</v>
      </c>
      <c r="H143" s="38" t="s">
        <v>242</v>
      </c>
      <c r="I143" t="s">
        <v>257</v>
      </c>
      <c r="J143" s="38" t="s">
        <v>243</v>
      </c>
      <c r="K143" t="s">
        <v>258</v>
      </c>
      <c r="AM143" s="2"/>
      <c r="AN143" s="11"/>
      <c r="AO143" s="3"/>
    </row>
    <row r="144" spans="4:41" x14ac:dyDescent="0.3">
      <c r="D144" t="s">
        <v>17</v>
      </c>
      <c r="E144" t="s">
        <v>17</v>
      </c>
      <c r="F144">
        <v>191.2</v>
      </c>
      <c r="G144" s="14">
        <f>F144/$F$147</f>
        <v>0.33549745569398132</v>
      </c>
      <c r="H144">
        <v>181.3</v>
      </c>
      <c r="I144" s="14">
        <f>H144/$H$147</f>
        <v>0.34291658785700774</v>
      </c>
      <c r="J144">
        <v>187.3</v>
      </c>
      <c r="K144" s="14">
        <f>J144/$J$147</f>
        <v>0.33857556037599423</v>
      </c>
      <c r="AM144" s="2"/>
      <c r="AN144" s="11"/>
      <c r="AO144" s="3"/>
    </row>
    <row r="145" spans="4:41" x14ac:dyDescent="0.3">
      <c r="D145" t="s">
        <v>17</v>
      </c>
      <c r="E145" t="s">
        <v>18</v>
      </c>
      <c r="F145">
        <v>187.9</v>
      </c>
      <c r="G145" s="14">
        <f>F145/$F$147</f>
        <v>0.32970696613440953</v>
      </c>
      <c r="H145">
        <v>168.1</v>
      </c>
      <c r="I145" s="14">
        <f>H145/$H$147</f>
        <v>0.31794968791375067</v>
      </c>
      <c r="J145">
        <v>179.7</v>
      </c>
      <c r="K145" s="14">
        <f>J145/$J$147</f>
        <v>0.32483731019522771</v>
      </c>
      <c r="AM145" s="2"/>
      <c r="AN145" s="11"/>
      <c r="AO145" s="3"/>
    </row>
    <row r="146" spans="4:41" x14ac:dyDescent="0.3">
      <c r="D146" t="s">
        <v>17</v>
      </c>
      <c r="E146" t="s">
        <v>19</v>
      </c>
      <c r="F146">
        <v>190.8</v>
      </c>
      <c r="G146" s="14">
        <f>F146/$F$147</f>
        <v>0.33479557817160904</v>
      </c>
      <c r="H146">
        <v>179.3</v>
      </c>
      <c r="I146" s="14">
        <f>H146/$H$147</f>
        <v>0.33913372422924154</v>
      </c>
      <c r="J146">
        <v>186.2</v>
      </c>
      <c r="K146" s="14">
        <f>J146/$J$147</f>
        <v>0.336587129428778</v>
      </c>
      <c r="AM146" s="2"/>
      <c r="AN146" s="11"/>
      <c r="AO146" s="3"/>
    </row>
    <row r="147" spans="4:41" x14ac:dyDescent="0.3">
      <c r="F147">
        <f>SUM(F144:F146)</f>
        <v>569.90000000000009</v>
      </c>
      <c r="G147" s="14">
        <f>F147/$F$147</f>
        <v>1</v>
      </c>
      <c r="H147">
        <f>SUM(H144:H146)</f>
        <v>528.70000000000005</v>
      </c>
      <c r="I147" s="14">
        <f>H147/$H$147</f>
        <v>1</v>
      </c>
      <c r="J147">
        <f>SUM(J144:J146)</f>
        <v>553.20000000000005</v>
      </c>
      <c r="K147" s="14">
        <f>J147/$J$147</f>
        <v>1</v>
      </c>
      <c r="AM147" s="2"/>
      <c r="AN147" s="11"/>
      <c r="AO147" s="3"/>
    </row>
    <row r="148" spans="4:41" x14ac:dyDescent="0.3">
      <c r="AL148" t="s">
        <v>176</v>
      </c>
      <c r="AM148" s="2" t="s">
        <v>9</v>
      </c>
      <c r="AN148" s="11" t="s">
        <v>35</v>
      </c>
      <c r="AO148" s="3">
        <v>161</v>
      </c>
    </row>
    <row r="149" spans="4:41" x14ac:dyDescent="0.3">
      <c r="AL149" t="s">
        <v>176</v>
      </c>
      <c r="AM149" s="2" t="s">
        <v>10</v>
      </c>
      <c r="AN149" s="11" t="s">
        <v>35</v>
      </c>
      <c r="AO149" s="3">
        <v>175.6</v>
      </c>
    </row>
    <row r="150" spans="4:41" x14ac:dyDescent="0.3">
      <c r="AL150" t="s">
        <v>176</v>
      </c>
      <c r="AM150" s="2" t="s">
        <v>11</v>
      </c>
      <c r="AN150" s="11" t="s">
        <v>35</v>
      </c>
      <c r="AO150" s="3">
        <v>122.7</v>
      </c>
    </row>
    <row r="151" spans="4:41" x14ac:dyDescent="0.3">
      <c r="AL151" t="s">
        <v>176</v>
      </c>
      <c r="AM151" s="2" t="s">
        <v>12</v>
      </c>
      <c r="AN151" s="11" t="s">
        <v>35</v>
      </c>
      <c r="AO151" s="3">
        <v>218</v>
      </c>
    </row>
    <row r="152" spans="4:41" x14ac:dyDescent="0.3">
      <c r="AL152" t="s">
        <v>178</v>
      </c>
      <c r="AM152" s="2" t="s">
        <v>13</v>
      </c>
      <c r="AN152" s="11" t="s">
        <v>35</v>
      </c>
      <c r="AO152" s="3">
        <v>173.4</v>
      </c>
    </row>
    <row r="153" spans="4:41" x14ac:dyDescent="0.3">
      <c r="AL153" t="s">
        <v>176</v>
      </c>
      <c r="AM153" s="2" t="s">
        <v>14</v>
      </c>
      <c r="AN153" s="11" t="s">
        <v>35</v>
      </c>
      <c r="AO153" s="3">
        <v>194.2</v>
      </c>
    </row>
    <row r="154" spans="4:41" x14ac:dyDescent="0.3">
      <c r="AL154" t="s">
        <v>176</v>
      </c>
      <c r="AM154" s="2" t="s">
        <v>15</v>
      </c>
      <c r="AN154" s="11" t="s">
        <v>35</v>
      </c>
      <c r="AO154" s="3">
        <v>179.1</v>
      </c>
    </row>
    <row r="155" spans="4:41" x14ac:dyDescent="0.3">
      <c r="AL155" t="s">
        <v>178</v>
      </c>
      <c r="AM155" s="2" t="s">
        <v>16</v>
      </c>
      <c r="AN155" s="11" t="s">
        <v>35</v>
      </c>
      <c r="AO155" s="3">
        <v>201</v>
      </c>
    </row>
    <row r="156" spans="4:41" x14ac:dyDescent="0.3">
      <c r="AL156" t="s">
        <v>17</v>
      </c>
      <c r="AM156" s="2" t="s">
        <v>17</v>
      </c>
      <c r="AN156" s="11" t="s">
        <v>35</v>
      </c>
      <c r="AO156" s="3">
        <v>187.3</v>
      </c>
    </row>
    <row r="157" spans="4:41" x14ac:dyDescent="0.3">
      <c r="AL157" t="s">
        <v>17</v>
      </c>
      <c r="AM157" s="2" t="s">
        <v>18</v>
      </c>
      <c r="AN157" s="11" t="s">
        <v>35</v>
      </c>
      <c r="AO157" s="3">
        <v>179.7</v>
      </c>
    </row>
    <row r="158" spans="4:41" x14ac:dyDescent="0.3">
      <c r="AL158" t="s">
        <v>17</v>
      </c>
      <c r="AM158" s="2" t="s">
        <v>19</v>
      </c>
      <c r="AN158" s="11" t="s">
        <v>35</v>
      </c>
      <c r="AO158" s="3">
        <v>186.2</v>
      </c>
    </row>
    <row r="159" spans="4:41" x14ac:dyDescent="0.3">
      <c r="AL159" t="s">
        <v>20</v>
      </c>
      <c r="AM159" s="2" t="s">
        <v>20</v>
      </c>
      <c r="AN159" s="11" t="s">
        <v>35</v>
      </c>
      <c r="AO159" s="4">
        <v>175.6</v>
      </c>
    </row>
    <row r="160" spans="4:41" x14ac:dyDescent="0.3">
      <c r="AL160" t="s">
        <v>179</v>
      </c>
      <c r="AM160" s="2" t="s">
        <v>21</v>
      </c>
      <c r="AN160" s="11" t="s">
        <v>35</v>
      </c>
      <c r="AO160" s="3">
        <v>182.8</v>
      </c>
    </row>
    <row r="161" spans="2:41" x14ac:dyDescent="0.3">
      <c r="AL161" t="s">
        <v>20</v>
      </c>
      <c r="AM161" s="2" t="s">
        <v>22</v>
      </c>
      <c r="AN161" s="11" t="s">
        <v>35</v>
      </c>
      <c r="AO161" s="3">
        <v>175.2</v>
      </c>
    </row>
    <row r="162" spans="2:41" x14ac:dyDescent="0.3">
      <c r="AL162" t="s">
        <v>23</v>
      </c>
      <c r="AM162" s="2" t="s">
        <v>23</v>
      </c>
      <c r="AN162" s="11" t="s">
        <v>35</v>
      </c>
      <c r="AO162" s="3">
        <v>185.7</v>
      </c>
    </row>
    <row r="163" spans="2:41" x14ac:dyDescent="0.3">
      <c r="AL163" t="s">
        <v>180</v>
      </c>
      <c r="AM163" s="2" t="s">
        <v>24</v>
      </c>
      <c r="AN163" s="11" t="s">
        <v>35</v>
      </c>
      <c r="AO163" s="3">
        <v>164.8</v>
      </c>
    </row>
    <row r="164" spans="2:41" x14ac:dyDescent="0.3">
      <c r="AL164" t="s">
        <v>178</v>
      </c>
      <c r="AM164" s="2" t="s">
        <v>25</v>
      </c>
      <c r="AN164" s="11" t="s">
        <v>35</v>
      </c>
      <c r="AO164" s="3">
        <v>171.2</v>
      </c>
    </row>
    <row r="165" spans="2:41" x14ac:dyDescent="0.3">
      <c r="AL165" t="s">
        <v>26</v>
      </c>
      <c r="AM165" s="2" t="s">
        <v>26</v>
      </c>
      <c r="AN165" s="11" t="s">
        <v>35</v>
      </c>
      <c r="AO165" s="3">
        <v>177.1</v>
      </c>
    </row>
    <row r="166" spans="2:41" x14ac:dyDescent="0.3">
      <c r="AL166" t="s">
        <v>181</v>
      </c>
      <c r="AM166" s="2" t="s">
        <v>27</v>
      </c>
      <c r="AN166" s="11" t="s">
        <v>35</v>
      </c>
      <c r="AO166" s="3">
        <v>185.2</v>
      </c>
    </row>
    <row r="167" spans="2:41" x14ac:dyDescent="0.3">
      <c r="AL167" t="s">
        <v>182</v>
      </c>
      <c r="AM167" s="2" t="s">
        <v>28</v>
      </c>
      <c r="AN167" s="11" t="s">
        <v>35</v>
      </c>
      <c r="AO167" s="3">
        <v>175.7</v>
      </c>
    </row>
    <row r="168" spans="2:41" x14ac:dyDescent="0.3">
      <c r="AM168" s="8"/>
      <c r="AN168" s="23"/>
      <c r="AO168" s="23"/>
    </row>
    <row r="169" spans="2:41" x14ac:dyDescent="0.3">
      <c r="AM169" s="8"/>
      <c r="AN169" s="23"/>
      <c r="AO169" s="23"/>
    </row>
    <row r="170" spans="2:41" x14ac:dyDescent="0.3">
      <c r="AM170" s="8"/>
      <c r="AN170" s="23"/>
      <c r="AO170" s="23"/>
    </row>
    <row r="171" spans="2:41" x14ac:dyDescent="0.3">
      <c r="AM171" s="8"/>
      <c r="AN171" s="23"/>
      <c r="AO171" s="23"/>
    </row>
    <row r="172" spans="2:41" x14ac:dyDescent="0.3">
      <c r="AM172" s="8"/>
      <c r="AN172" s="23"/>
      <c r="AO172" s="23"/>
    </row>
    <row r="175" spans="2:41" x14ac:dyDescent="0.3">
      <c r="B175" t="s">
        <v>244</v>
      </c>
      <c r="C175" t="s">
        <v>245</v>
      </c>
      <c r="D175" s="52" t="s">
        <v>0</v>
      </c>
      <c r="E175" s="52" t="s">
        <v>239</v>
      </c>
    </row>
    <row r="176" spans="2:41" x14ac:dyDescent="0.3">
      <c r="B176" s="53" t="s">
        <v>176</v>
      </c>
      <c r="C176" s="54" t="s">
        <v>3</v>
      </c>
      <c r="D176" s="55" t="s">
        <v>30</v>
      </c>
      <c r="E176" s="56">
        <v>173.2</v>
      </c>
    </row>
    <row r="177" spans="2:5" x14ac:dyDescent="0.3">
      <c r="B177" s="53" t="s">
        <v>176</v>
      </c>
      <c r="C177" s="54" t="s">
        <v>4</v>
      </c>
      <c r="D177" s="55" t="s">
        <v>30</v>
      </c>
      <c r="E177" s="56">
        <v>211.5</v>
      </c>
    </row>
    <row r="178" spans="2:5" x14ac:dyDescent="0.3">
      <c r="B178" s="53" t="s">
        <v>176</v>
      </c>
      <c r="C178" s="54" t="s">
        <v>5</v>
      </c>
      <c r="D178" s="55" t="s">
        <v>30</v>
      </c>
      <c r="E178" s="56">
        <v>171</v>
      </c>
    </row>
    <row r="179" spans="2:5" x14ac:dyDescent="0.3">
      <c r="B179" s="53" t="s">
        <v>176</v>
      </c>
      <c r="C179" s="54" t="s">
        <v>6</v>
      </c>
      <c r="D179" s="55" t="s">
        <v>30</v>
      </c>
      <c r="E179" s="56">
        <v>179.6</v>
      </c>
    </row>
    <row r="180" spans="2:5" x14ac:dyDescent="0.3">
      <c r="B180" s="53" t="s">
        <v>176</v>
      </c>
      <c r="C180" s="54" t="s">
        <v>7</v>
      </c>
      <c r="D180" s="55" t="s">
        <v>30</v>
      </c>
      <c r="E180" s="56">
        <v>173.3</v>
      </c>
    </row>
    <row r="181" spans="2:5" x14ac:dyDescent="0.3">
      <c r="B181" s="53" t="s">
        <v>176</v>
      </c>
      <c r="C181" s="54" t="s">
        <v>8</v>
      </c>
      <c r="D181" s="55" t="s">
        <v>30</v>
      </c>
      <c r="E181" s="56">
        <v>169</v>
      </c>
    </row>
    <row r="182" spans="2:5" x14ac:dyDescent="0.3">
      <c r="B182" s="53" t="s">
        <v>176</v>
      </c>
      <c r="C182" s="54" t="s">
        <v>9</v>
      </c>
      <c r="D182" s="55" t="s">
        <v>30</v>
      </c>
      <c r="E182" s="56">
        <v>148.69999999999999</v>
      </c>
    </row>
    <row r="183" spans="2:5" x14ac:dyDescent="0.3">
      <c r="B183" s="53" t="s">
        <v>176</v>
      </c>
      <c r="C183" s="54" t="s">
        <v>10</v>
      </c>
      <c r="D183" s="55" t="s">
        <v>30</v>
      </c>
      <c r="E183" s="56">
        <v>174.9</v>
      </c>
    </row>
    <row r="184" spans="2:5" x14ac:dyDescent="0.3">
      <c r="B184" s="53" t="s">
        <v>176</v>
      </c>
      <c r="C184" s="54" t="s">
        <v>11</v>
      </c>
      <c r="D184" s="55" t="s">
        <v>30</v>
      </c>
      <c r="E184" s="56">
        <v>121.9</v>
      </c>
    </row>
    <row r="185" spans="2:5" x14ac:dyDescent="0.3">
      <c r="B185" s="53" t="s">
        <v>176</v>
      </c>
      <c r="C185" s="54" t="s">
        <v>12</v>
      </c>
      <c r="D185" s="55" t="s">
        <v>30</v>
      </c>
      <c r="E185" s="56">
        <v>221</v>
      </c>
    </row>
    <row r="186" spans="2:5" x14ac:dyDescent="0.3">
      <c r="B186" s="53" t="s">
        <v>178</v>
      </c>
      <c r="C186" s="54" t="s">
        <v>13</v>
      </c>
      <c r="D186" s="55" t="s">
        <v>30</v>
      </c>
      <c r="E186" s="56">
        <v>178.7</v>
      </c>
    </row>
    <row r="187" spans="2:5" x14ac:dyDescent="0.3">
      <c r="B187" s="53" t="s">
        <v>176</v>
      </c>
      <c r="C187" s="54" t="s">
        <v>14</v>
      </c>
      <c r="D187" s="55" t="s">
        <v>30</v>
      </c>
      <c r="E187" s="56">
        <v>191.1</v>
      </c>
    </row>
    <row r="188" spans="2:5" x14ac:dyDescent="0.3">
      <c r="B188" s="53" t="s">
        <v>176</v>
      </c>
      <c r="C188" s="54" t="s">
        <v>15</v>
      </c>
      <c r="D188" s="55" t="s">
        <v>30</v>
      </c>
      <c r="E188" s="56">
        <v>176.8</v>
      </c>
    </row>
    <row r="189" spans="2:5" x14ac:dyDescent="0.3">
      <c r="B189" s="53" t="s">
        <v>178</v>
      </c>
      <c r="C189" s="54" t="s">
        <v>16</v>
      </c>
      <c r="D189" s="55" t="s">
        <v>30</v>
      </c>
      <c r="E189" s="56">
        <v>199.9</v>
      </c>
    </row>
    <row r="190" spans="2:5" x14ac:dyDescent="0.3">
      <c r="B190" s="53" t="s">
        <v>17</v>
      </c>
      <c r="C190" s="54" t="s">
        <v>17</v>
      </c>
      <c r="D190" s="55" t="s">
        <v>30</v>
      </c>
      <c r="E190" s="56">
        <v>191.2</v>
      </c>
    </row>
    <row r="191" spans="2:5" x14ac:dyDescent="0.3">
      <c r="B191" s="53" t="s">
        <v>17</v>
      </c>
      <c r="C191" s="54" t="s">
        <v>18</v>
      </c>
      <c r="D191" s="55" t="s">
        <v>30</v>
      </c>
      <c r="E191" s="56">
        <v>187.9</v>
      </c>
    </row>
    <row r="192" spans="2:5" x14ac:dyDescent="0.3">
      <c r="B192" s="53" t="s">
        <v>17</v>
      </c>
      <c r="C192" s="54" t="s">
        <v>19</v>
      </c>
      <c r="D192" s="55" t="s">
        <v>30</v>
      </c>
      <c r="E192" s="56">
        <v>190.8</v>
      </c>
    </row>
    <row r="193" spans="2:5" x14ac:dyDescent="0.3">
      <c r="B193" s="53" t="s">
        <v>20</v>
      </c>
      <c r="C193" s="54" t="s">
        <v>20</v>
      </c>
      <c r="D193" s="55" t="s">
        <v>30</v>
      </c>
      <c r="E193" s="56" t="s">
        <v>139</v>
      </c>
    </row>
    <row r="194" spans="2:5" x14ac:dyDescent="0.3">
      <c r="B194" s="53" t="s">
        <v>179</v>
      </c>
      <c r="C194" s="54" t="s">
        <v>21</v>
      </c>
      <c r="D194" s="55" t="s">
        <v>30</v>
      </c>
      <c r="E194" s="56">
        <v>182.5</v>
      </c>
    </row>
    <row r="195" spans="2:5" x14ac:dyDescent="0.3">
      <c r="B195" s="53" t="s">
        <v>20</v>
      </c>
      <c r="C195" s="54" t="s">
        <v>22</v>
      </c>
      <c r="D195" s="55" t="s">
        <v>30</v>
      </c>
      <c r="E195" s="56">
        <v>179.8</v>
      </c>
    </row>
    <row r="196" spans="2:5" x14ac:dyDescent="0.3">
      <c r="B196" s="53" t="s">
        <v>23</v>
      </c>
      <c r="C196" s="54" t="s">
        <v>23</v>
      </c>
      <c r="D196" s="55" t="s">
        <v>30</v>
      </c>
      <c r="E196" s="56">
        <v>187.8</v>
      </c>
    </row>
    <row r="197" spans="2:5" x14ac:dyDescent="0.3">
      <c r="B197" s="53" t="s">
        <v>180</v>
      </c>
      <c r="C197" s="54" t="s">
        <v>24</v>
      </c>
      <c r="D197" s="55" t="s">
        <v>30</v>
      </c>
      <c r="E197" s="56">
        <v>169.7</v>
      </c>
    </row>
    <row r="198" spans="2:5" x14ac:dyDescent="0.3">
      <c r="B198" s="53" t="s">
        <v>178</v>
      </c>
      <c r="C198" s="54" t="s">
        <v>25</v>
      </c>
      <c r="D198" s="55" t="s">
        <v>30</v>
      </c>
      <c r="E198" s="56">
        <v>173.8</v>
      </c>
    </row>
    <row r="199" spans="2:5" x14ac:dyDescent="0.3">
      <c r="B199" s="53" t="s">
        <v>26</v>
      </c>
      <c r="C199" s="54" t="s">
        <v>26</v>
      </c>
      <c r="D199" s="55" t="s">
        <v>30</v>
      </c>
      <c r="E199" s="56">
        <v>180.3</v>
      </c>
    </row>
    <row r="200" spans="2:5" x14ac:dyDescent="0.3">
      <c r="B200" s="53" t="s">
        <v>181</v>
      </c>
      <c r="C200" s="54" t="s">
        <v>27</v>
      </c>
      <c r="D200" s="55" t="s">
        <v>30</v>
      </c>
      <c r="E200" s="56">
        <v>184.9</v>
      </c>
    </row>
    <row r="201" spans="2:5" x14ac:dyDescent="0.3">
      <c r="B201" s="53" t="s">
        <v>182</v>
      </c>
      <c r="C201" s="54" t="s">
        <v>28</v>
      </c>
      <c r="D201" s="55" t="s">
        <v>30</v>
      </c>
      <c r="E201" s="56">
        <v>179.5</v>
      </c>
    </row>
    <row r="202" spans="2:5" x14ac:dyDescent="0.3">
      <c r="B202" s="53" t="s">
        <v>176</v>
      </c>
      <c r="C202" s="54" t="s">
        <v>3</v>
      </c>
      <c r="D202" s="55" t="s">
        <v>33</v>
      </c>
      <c r="E202" s="56">
        <v>174.7</v>
      </c>
    </row>
    <row r="203" spans="2:5" x14ac:dyDescent="0.3">
      <c r="B203" s="53" t="s">
        <v>176</v>
      </c>
      <c r="C203" s="54" t="s">
        <v>4</v>
      </c>
      <c r="D203" s="55" t="s">
        <v>33</v>
      </c>
      <c r="E203" s="56">
        <v>219.4</v>
      </c>
    </row>
    <row r="204" spans="2:5" x14ac:dyDescent="0.3">
      <c r="B204" s="53" t="s">
        <v>176</v>
      </c>
      <c r="C204" s="54" t="s">
        <v>5</v>
      </c>
      <c r="D204" s="55" t="s">
        <v>33</v>
      </c>
      <c r="E204" s="56">
        <v>176.7</v>
      </c>
    </row>
    <row r="205" spans="2:5" x14ac:dyDescent="0.3">
      <c r="B205" s="53" t="s">
        <v>176</v>
      </c>
      <c r="C205" s="54" t="s">
        <v>6</v>
      </c>
      <c r="D205" s="55" t="s">
        <v>33</v>
      </c>
      <c r="E205" s="56">
        <v>179.4</v>
      </c>
    </row>
    <row r="206" spans="2:5" x14ac:dyDescent="0.3">
      <c r="B206" s="53" t="s">
        <v>176</v>
      </c>
      <c r="C206" s="54" t="s">
        <v>7</v>
      </c>
      <c r="D206" s="55" t="s">
        <v>33</v>
      </c>
      <c r="E206" s="56">
        <v>164.4</v>
      </c>
    </row>
    <row r="207" spans="2:5" x14ac:dyDescent="0.3">
      <c r="B207" s="53" t="s">
        <v>176</v>
      </c>
      <c r="C207" s="54" t="s">
        <v>8</v>
      </c>
      <c r="D207" s="55" t="s">
        <v>33</v>
      </c>
      <c r="E207" s="56">
        <v>175.8</v>
      </c>
    </row>
    <row r="208" spans="2:5" x14ac:dyDescent="0.3">
      <c r="B208" s="53" t="s">
        <v>176</v>
      </c>
      <c r="C208" s="54" t="s">
        <v>9</v>
      </c>
      <c r="D208" s="55" t="s">
        <v>33</v>
      </c>
      <c r="E208" s="56">
        <v>185</v>
      </c>
    </row>
    <row r="209" spans="2:5" x14ac:dyDescent="0.3">
      <c r="B209" s="53" t="s">
        <v>176</v>
      </c>
      <c r="C209" s="54" t="s">
        <v>10</v>
      </c>
      <c r="D209" s="55" t="s">
        <v>33</v>
      </c>
      <c r="E209" s="56">
        <v>176.9</v>
      </c>
    </row>
    <row r="210" spans="2:5" x14ac:dyDescent="0.3">
      <c r="B210" s="53" t="s">
        <v>176</v>
      </c>
      <c r="C210" s="54" t="s">
        <v>11</v>
      </c>
      <c r="D210" s="55" t="s">
        <v>33</v>
      </c>
      <c r="E210" s="56">
        <v>124.2</v>
      </c>
    </row>
    <row r="211" spans="2:5" x14ac:dyDescent="0.3">
      <c r="B211" s="53" t="s">
        <v>176</v>
      </c>
      <c r="C211" s="54" t="s">
        <v>12</v>
      </c>
      <c r="D211" s="55" t="s">
        <v>33</v>
      </c>
      <c r="E211" s="56">
        <v>211.9</v>
      </c>
    </row>
    <row r="212" spans="2:5" x14ac:dyDescent="0.3">
      <c r="B212" s="53" t="s">
        <v>178</v>
      </c>
      <c r="C212" s="54" t="s">
        <v>13</v>
      </c>
      <c r="D212" s="55" t="s">
        <v>33</v>
      </c>
      <c r="E212" s="56">
        <v>165.9</v>
      </c>
    </row>
    <row r="213" spans="2:5" x14ac:dyDescent="0.3">
      <c r="B213" s="53" t="s">
        <v>176</v>
      </c>
      <c r="C213" s="54" t="s">
        <v>14</v>
      </c>
      <c r="D213" s="55" t="s">
        <v>33</v>
      </c>
      <c r="E213" s="56">
        <v>197.7</v>
      </c>
    </row>
    <row r="214" spans="2:5" x14ac:dyDescent="0.3">
      <c r="B214" s="53" t="s">
        <v>176</v>
      </c>
      <c r="C214" s="54" t="s">
        <v>15</v>
      </c>
      <c r="D214" s="55" t="s">
        <v>33</v>
      </c>
      <c r="E214" s="56">
        <v>183.1</v>
      </c>
    </row>
    <row r="215" spans="2:5" x14ac:dyDescent="0.3">
      <c r="B215" s="53" t="s">
        <v>178</v>
      </c>
      <c r="C215" s="54" t="s">
        <v>16</v>
      </c>
      <c r="D215" s="55" t="s">
        <v>33</v>
      </c>
      <c r="E215" s="56">
        <v>204.2</v>
      </c>
    </row>
    <row r="216" spans="2:5" x14ac:dyDescent="0.3">
      <c r="B216" s="53" t="s">
        <v>17</v>
      </c>
      <c r="C216" s="54" t="s">
        <v>17</v>
      </c>
      <c r="D216" s="55" t="s">
        <v>33</v>
      </c>
      <c r="E216" s="56">
        <v>181.3</v>
      </c>
    </row>
    <row r="217" spans="2:5" x14ac:dyDescent="0.3">
      <c r="B217" s="53" t="s">
        <v>17</v>
      </c>
      <c r="C217" s="54" t="s">
        <v>18</v>
      </c>
      <c r="D217" s="55" t="s">
        <v>33</v>
      </c>
      <c r="E217" s="56">
        <v>168.1</v>
      </c>
    </row>
    <row r="218" spans="2:5" x14ac:dyDescent="0.3">
      <c r="B218" s="53" t="s">
        <v>17</v>
      </c>
      <c r="C218" s="54" t="s">
        <v>19</v>
      </c>
      <c r="D218" s="55" t="s">
        <v>33</v>
      </c>
      <c r="E218" s="56">
        <v>179.3</v>
      </c>
    </row>
    <row r="219" spans="2:5" x14ac:dyDescent="0.3">
      <c r="B219" s="53" t="s">
        <v>20</v>
      </c>
      <c r="C219" s="54" t="s">
        <v>20</v>
      </c>
      <c r="D219" s="55" t="s">
        <v>33</v>
      </c>
      <c r="E219" s="56">
        <v>175.6</v>
      </c>
    </row>
    <row r="220" spans="2:5" x14ac:dyDescent="0.3">
      <c r="B220" s="53" t="s">
        <v>179</v>
      </c>
      <c r="C220" s="54" t="s">
        <v>21</v>
      </c>
      <c r="D220" s="55" t="s">
        <v>33</v>
      </c>
      <c r="E220" s="56">
        <v>183.4</v>
      </c>
    </row>
    <row r="221" spans="2:5" x14ac:dyDescent="0.3">
      <c r="B221" s="53" t="s">
        <v>20</v>
      </c>
      <c r="C221" s="54" t="s">
        <v>22</v>
      </c>
      <c r="D221" s="55" t="s">
        <v>33</v>
      </c>
      <c r="E221" s="56">
        <v>170.1</v>
      </c>
    </row>
    <row r="222" spans="2:5" x14ac:dyDescent="0.3">
      <c r="B222" s="53" t="s">
        <v>23</v>
      </c>
      <c r="C222" s="54" t="s">
        <v>23</v>
      </c>
      <c r="D222" s="55" t="s">
        <v>33</v>
      </c>
      <c r="E222" s="56">
        <v>182.2</v>
      </c>
    </row>
    <row r="223" spans="2:5" x14ac:dyDescent="0.3">
      <c r="B223" s="53" t="s">
        <v>180</v>
      </c>
      <c r="C223" s="54" t="s">
        <v>24</v>
      </c>
      <c r="D223" s="55" t="s">
        <v>33</v>
      </c>
      <c r="E223" s="56">
        <v>160.4</v>
      </c>
    </row>
    <row r="224" spans="2:5" x14ac:dyDescent="0.3">
      <c r="B224" s="53" t="s">
        <v>178</v>
      </c>
      <c r="C224" s="54" t="s">
        <v>25</v>
      </c>
      <c r="D224" s="55" t="s">
        <v>33</v>
      </c>
      <c r="E224" s="56">
        <v>169.2</v>
      </c>
    </row>
    <row r="225" spans="2:5" x14ac:dyDescent="0.3">
      <c r="B225" s="53" t="s">
        <v>26</v>
      </c>
      <c r="C225" s="54" t="s">
        <v>26</v>
      </c>
      <c r="D225" s="55" t="s">
        <v>33</v>
      </c>
      <c r="E225" s="56">
        <v>174.8</v>
      </c>
    </row>
    <row r="226" spans="2:5" x14ac:dyDescent="0.3">
      <c r="B226" s="53" t="s">
        <v>181</v>
      </c>
      <c r="C226" s="54" t="s">
        <v>27</v>
      </c>
      <c r="D226" s="55" t="s">
        <v>33</v>
      </c>
      <c r="E226" s="56">
        <v>185.6</v>
      </c>
    </row>
    <row r="227" spans="2:5" x14ac:dyDescent="0.3">
      <c r="B227" s="53" t="s">
        <v>182</v>
      </c>
      <c r="C227" s="54" t="s">
        <v>28</v>
      </c>
      <c r="D227" s="55" t="s">
        <v>33</v>
      </c>
      <c r="E227" s="56">
        <v>171.6</v>
      </c>
    </row>
    <row r="228" spans="2:5" x14ac:dyDescent="0.3">
      <c r="B228" s="53" t="s">
        <v>176</v>
      </c>
      <c r="C228" s="54" t="s">
        <v>3</v>
      </c>
      <c r="D228" s="55" t="s">
        <v>35</v>
      </c>
      <c r="E228" s="56">
        <v>173.7</v>
      </c>
    </row>
    <row r="229" spans="2:5" x14ac:dyDescent="0.3">
      <c r="B229" s="53" t="s">
        <v>176</v>
      </c>
      <c r="C229" s="54" t="s">
        <v>4</v>
      </c>
      <c r="D229" s="55" t="s">
        <v>35</v>
      </c>
      <c r="E229" s="56">
        <v>214.3</v>
      </c>
    </row>
    <row r="230" spans="2:5" x14ac:dyDescent="0.3">
      <c r="B230" s="53" t="s">
        <v>176</v>
      </c>
      <c r="C230" s="54" t="s">
        <v>5</v>
      </c>
      <c r="D230" s="55" t="s">
        <v>35</v>
      </c>
      <c r="E230" s="56">
        <v>173.2</v>
      </c>
    </row>
    <row r="231" spans="2:5" x14ac:dyDescent="0.3">
      <c r="B231" s="53" t="s">
        <v>176</v>
      </c>
      <c r="C231" s="54" t="s">
        <v>6</v>
      </c>
      <c r="D231" s="55" t="s">
        <v>35</v>
      </c>
      <c r="E231" s="56">
        <v>179.5</v>
      </c>
    </row>
    <row r="232" spans="2:5" x14ac:dyDescent="0.3">
      <c r="B232" s="53" t="s">
        <v>176</v>
      </c>
      <c r="C232" s="54" t="s">
        <v>7</v>
      </c>
      <c r="D232" s="55" t="s">
        <v>35</v>
      </c>
      <c r="E232" s="56">
        <v>170</v>
      </c>
    </row>
    <row r="233" spans="2:5" x14ac:dyDescent="0.3">
      <c r="B233" s="53" t="s">
        <v>176</v>
      </c>
      <c r="C233" s="54" t="s">
        <v>8</v>
      </c>
      <c r="D233" s="55" t="s">
        <v>35</v>
      </c>
      <c r="E233" s="56">
        <v>172.2</v>
      </c>
    </row>
    <row r="234" spans="2:5" x14ac:dyDescent="0.3">
      <c r="B234" s="53" t="s">
        <v>176</v>
      </c>
      <c r="C234" s="54" t="s">
        <v>9</v>
      </c>
      <c r="D234" s="55" t="s">
        <v>35</v>
      </c>
      <c r="E234" s="56">
        <v>161</v>
      </c>
    </row>
    <row r="235" spans="2:5" x14ac:dyDescent="0.3">
      <c r="B235" s="53" t="s">
        <v>176</v>
      </c>
      <c r="C235" s="54" t="s">
        <v>10</v>
      </c>
      <c r="D235" s="55" t="s">
        <v>35</v>
      </c>
      <c r="E235" s="56">
        <v>175.6</v>
      </c>
    </row>
    <row r="236" spans="2:5" x14ac:dyDescent="0.3">
      <c r="B236" s="53" t="s">
        <v>176</v>
      </c>
      <c r="C236" s="54" t="s">
        <v>11</v>
      </c>
      <c r="D236" s="55" t="s">
        <v>35</v>
      </c>
      <c r="E236" s="56">
        <v>122.7</v>
      </c>
    </row>
    <row r="237" spans="2:5" x14ac:dyDescent="0.3">
      <c r="B237" s="53" t="s">
        <v>176</v>
      </c>
      <c r="C237" s="54" t="s">
        <v>12</v>
      </c>
      <c r="D237" s="55" t="s">
        <v>35</v>
      </c>
      <c r="E237" s="56">
        <v>218</v>
      </c>
    </row>
    <row r="238" spans="2:5" x14ac:dyDescent="0.3">
      <c r="B238" s="53" t="s">
        <v>178</v>
      </c>
      <c r="C238" s="54" t="s">
        <v>13</v>
      </c>
      <c r="D238" s="55" t="s">
        <v>35</v>
      </c>
      <c r="E238" s="56">
        <v>173.4</v>
      </c>
    </row>
    <row r="239" spans="2:5" x14ac:dyDescent="0.3">
      <c r="B239" s="53" t="s">
        <v>176</v>
      </c>
      <c r="C239" s="54" t="s">
        <v>14</v>
      </c>
      <c r="D239" s="55" t="s">
        <v>35</v>
      </c>
      <c r="E239" s="56">
        <v>194.2</v>
      </c>
    </row>
    <row r="240" spans="2:5" x14ac:dyDescent="0.3">
      <c r="B240" s="53" t="s">
        <v>176</v>
      </c>
      <c r="C240" s="54" t="s">
        <v>15</v>
      </c>
      <c r="D240" s="55" t="s">
        <v>35</v>
      </c>
      <c r="E240" s="56">
        <v>179.1</v>
      </c>
    </row>
    <row r="241" spans="2:5" x14ac:dyDescent="0.3">
      <c r="B241" s="53" t="s">
        <v>178</v>
      </c>
      <c r="C241" s="54" t="s">
        <v>16</v>
      </c>
      <c r="D241" s="55" t="s">
        <v>35</v>
      </c>
      <c r="E241" s="56">
        <v>201</v>
      </c>
    </row>
    <row r="242" spans="2:5" x14ac:dyDescent="0.3">
      <c r="B242" s="53" t="s">
        <v>17</v>
      </c>
      <c r="C242" s="54" t="s">
        <v>17</v>
      </c>
      <c r="D242" s="55" t="s">
        <v>35</v>
      </c>
      <c r="E242" s="56">
        <v>187.3</v>
      </c>
    </row>
    <row r="243" spans="2:5" x14ac:dyDescent="0.3">
      <c r="B243" s="53" t="s">
        <v>17</v>
      </c>
      <c r="C243" s="54" t="s">
        <v>18</v>
      </c>
      <c r="D243" s="55" t="s">
        <v>35</v>
      </c>
      <c r="E243" s="56">
        <v>179.7</v>
      </c>
    </row>
    <row r="244" spans="2:5" x14ac:dyDescent="0.3">
      <c r="B244" s="53" t="s">
        <v>17</v>
      </c>
      <c r="C244" s="54" t="s">
        <v>19</v>
      </c>
      <c r="D244" s="55" t="s">
        <v>35</v>
      </c>
      <c r="E244" s="56">
        <v>186.2</v>
      </c>
    </row>
    <row r="245" spans="2:5" x14ac:dyDescent="0.3">
      <c r="B245" s="53" t="s">
        <v>20</v>
      </c>
      <c r="C245" s="54" t="s">
        <v>20</v>
      </c>
      <c r="D245" s="55" t="s">
        <v>35</v>
      </c>
      <c r="E245" s="56">
        <v>175.6</v>
      </c>
    </row>
    <row r="246" spans="2:5" x14ac:dyDescent="0.3">
      <c r="B246" s="53" t="s">
        <v>179</v>
      </c>
      <c r="C246" s="54" t="s">
        <v>21</v>
      </c>
      <c r="D246" s="55" t="s">
        <v>35</v>
      </c>
      <c r="E246" s="56">
        <v>182.8</v>
      </c>
    </row>
    <row r="247" spans="2:5" x14ac:dyDescent="0.3">
      <c r="B247" s="53" t="s">
        <v>20</v>
      </c>
      <c r="C247" s="54" t="s">
        <v>22</v>
      </c>
      <c r="D247" s="55" t="s">
        <v>35</v>
      </c>
      <c r="E247" s="56">
        <v>175.2</v>
      </c>
    </row>
    <row r="248" spans="2:5" x14ac:dyDescent="0.3">
      <c r="B248" s="53" t="s">
        <v>23</v>
      </c>
      <c r="C248" s="54" t="s">
        <v>23</v>
      </c>
      <c r="D248" s="55" t="s">
        <v>35</v>
      </c>
      <c r="E248" s="56">
        <v>185.7</v>
      </c>
    </row>
    <row r="249" spans="2:5" x14ac:dyDescent="0.3">
      <c r="B249" s="53" t="s">
        <v>180</v>
      </c>
      <c r="C249" s="54" t="s">
        <v>24</v>
      </c>
      <c r="D249" s="55" t="s">
        <v>35</v>
      </c>
      <c r="E249" s="56">
        <v>164.8</v>
      </c>
    </row>
    <row r="250" spans="2:5" x14ac:dyDescent="0.3">
      <c r="B250" s="53" t="s">
        <v>178</v>
      </c>
      <c r="C250" s="54" t="s">
        <v>25</v>
      </c>
      <c r="D250" s="55" t="s">
        <v>35</v>
      </c>
      <c r="E250" s="56">
        <v>171.2</v>
      </c>
    </row>
    <row r="251" spans="2:5" x14ac:dyDescent="0.3">
      <c r="B251" s="53" t="s">
        <v>26</v>
      </c>
      <c r="C251" s="54" t="s">
        <v>26</v>
      </c>
      <c r="D251" s="55" t="s">
        <v>35</v>
      </c>
      <c r="E251" s="56">
        <v>177.1</v>
      </c>
    </row>
    <row r="252" spans="2:5" x14ac:dyDescent="0.3">
      <c r="B252" s="53" t="s">
        <v>181</v>
      </c>
      <c r="C252" s="54" t="s">
        <v>27</v>
      </c>
      <c r="D252" s="55" t="s">
        <v>35</v>
      </c>
      <c r="E252" s="56">
        <v>185.2</v>
      </c>
    </row>
    <row r="253" spans="2:5" x14ac:dyDescent="0.3">
      <c r="B253" s="53" t="s">
        <v>182</v>
      </c>
      <c r="C253" s="54" t="s">
        <v>28</v>
      </c>
      <c r="D253" s="55" t="s">
        <v>35</v>
      </c>
      <c r="E253" s="56">
        <v>175.7</v>
      </c>
    </row>
  </sheetData>
  <mergeCells count="4">
    <mergeCell ref="G1:H1"/>
    <mergeCell ref="F103:H104"/>
    <mergeCell ref="F141:H142"/>
    <mergeCell ref="G48:I49"/>
  </mergeCells>
  <phoneticPr fontId="10" type="noConversion"/>
  <pageMargins left="0.7" right="0.7" top="0.75" bottom="0.75" header="0.3" footer="0.3"/>
  <drawing r:id="rId1"/>
  <tableParts count="9">
    <tablePart r:id="rId2"/>
    <tablePart r:id="rId3"/>
    <tablePart r:id="rId4"/>
    <tablePart r:id="rId5"/>
    <tablePart r:id="rId6"/>
    <tablePart r:id="rId7"/>
    <tablePart r:id="rId8"/>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F8241-801A-433D-B6FC-04578CF3EF21}">
  <dimension ref="A1:E8"/>
  <sheetViews>
    <sheetView workbookViewId="0">
      <selection activeCell="F36" sqref="F36"/>
    </sheetView>
  </sheetViews>
  <sheetFormatPr defaultRowHeight="14.4" x14ac:dyDescent="0.3"/>
  <cols>
    <col min="1" max="1" width="20" customWidth="1"/>
    <col min="4" max="4" width="14.33203125" customWidth="1"/>
    <col min="5" max="5" width="10" customWidth="1"/>
  </cols>
  <sheetData>
    <row r="1" spans="1:5" x14ac:dyDescent="0.3">
      <c r="A1" s="41" t="s">
        <v>0</v>
      </c>
      <c r="B1" s="41" t="s">
        <v>1</v>
      </c>
      <c r="C1" s="41" t="s">
        <v>2</v>
      </c>
      <c r="D1" s="48" t="s">
        <v>29</v>
      </c>
      <c r="E1" s="49" t="s">
        <v>183</v>
      </c>
    </row>
    <row r="2" spans="1:5" x14ac:dyDescent="0.3">
      <c r="A2" s="4" t="s">
        <v>35</v>
      </c>
      <c r="B2" s="4">
        <v>2017</v>
      </c>
      <c r="C2" s="4" t="s">
        <v>41</v>
      </c>
      <c r="D2" s="4">
        <v>131.4</v>
      </c>
    </row>
    <row r="3" spans="1:5" x14ac:dyDescent="0.3">
      <c r="A3" s="4" t="s">
        <v>35</v>
      </c>
      <c r="B3" s="4">
        <v>2018</v>
      </c>
      <c r="C3" s="4" t="s">
        <v>41</v>
      </c>
      <c r="D3" s="4">
        <v>137.80000000000001</v>
      </c>
      <c r="E3" s="14">
        <v>4.8706240487062444E-2</v>
      </c>
    </row>
    <row r="4" spans="1:5" x14ac:dyDescent="0.3">
      <c r="A4" s="4" t="s">
        <v>35</v>
      </c>
      <c r="B4" s="4">
        <v>2019</v>
      </c>
      <c r="C4" s="4" t="s">
        <v>41</v>
      </c>
      <c r="D4" s="7">
        <v>142</v>
      </c>
      <c r="E4" s="14">
        <v>3.5740335521517182E-2</v>
      </c>
    </row>
    <row r="5" spans="1:5" x14ac:dyDescent="0.3">
      <c r="A5" s="4" t="s">
        <v>35</v>
      </c>
      <c r="B5" s="4">
        <v>2020</v>
      </c>
      <c r="C5" s="4" t="s">
        <v>41</v>
      </c>
      <c r="D5" s="13">
        <v>151.01666666666668</v>
      </c>
      <c r="E5" s="14">
        <v>6.3497652582159711E-2</v>
      </c>
    </row>
    <row r="6" spans="1:5" x14ac:dyDescent="0.3">
      <c r="A6" s="4" t="s">
        <v>35</v>
      </c>
      <c r="B6" s="4">
        <v>2021</v>
      </c>
      <c r="C6" s="4" t="s">
        <v>41</v>
      </c>
      <c r="D6" s="7">
        <v>160.4</v>
      </c>
      <c r="E6" s="14">
        <v>6.2134422249199815E-2</v>
      </c>
    </row>
    <row r="7" spans="1:5" x14ac:dyDescent="0.3">
      <c r="A7" s="4" t="s">
        <v>35</v>
      </c>
      <c r="B7" s="4">
        <v>2022</v>
      </c>
      <c r="C7" s="4" t="s">
        <v>41</v>
      </c>
      <c r="D7" s="7">
        <v>171.7</v>
      </c>
      <c r="E7" s="14">
        <v>7.0448877805486171E-2</v>
      </c>
    </row>
    <row r="8" spans="1:5" x14ac:dyDescent="0.3">
      <c r="A8" s="4" t="s">
        <v>35</v>
      </c>
      <c r="B8" s="4">
        <v>2023</v>
      </c>
      <c r="C8" s="4" t="s">
        <v>41</v>
      </c>
      <c r="D8" s="7">
        <v>179.1</v>
      </c>
      <c r="E8" s="14">
        <v>4.3098427489807842E-2</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A979D-117B-4962-89CB-32EA6FFC99BE}">
  <dimension ref="A7:AS64"/>
  <sheetViews>
    <sheetView topLeftCell="A72" zoomScale="72" zoomScaleNormal="76" workbookViewId="0">
      <selection activeCell="A104" sqref="A104"/>
    </sheetView>
  </sheetViews>
  <sheetFormatPr defaultRowHeight="14.4" x14ac:dyDescent="0.3"/>
  <cols>
    <col min="1" max="1" width="13.5546875" bestFit="1" customWidth="1"/>
    <col min="2" max="2" width="13.88671875" bestFit="1" customWidth="1"/>
    <col min="3" max="3" width="17.21875" customWidth="1"/>
    <col min="4" max="4" width="13.109375" bestFit="1" customWidth="1"/>
    <col min="5" max="5" width="12.88671875" customWidth="1"/>
    <col min="6" max="6" width="12.6640625" customWidth="1"/>
    <col min="7" max="7" width="21.77734375" customWidth="1"/>
    <col min="8" max="8" width="22.6640625" customWidth="1"/>
    <col min="9" max="9" width="28.77734375" customWidth="1"/>
    <col min="10" max="10" width="13.77734375" customWidth="1"/>
    <col min="11" max="11" width="8.77734375" customWidth="1"/>
    <col min="12" max="12" width="14.33203125" customWidth="1"/>
    <col min="13" max="13" width="11.21875" customWidth="1"/>
    <col min="14" max="14" width="15.6640625" customWidth="1"/>
    <col min="16" max="16" width="15.88671875" customWidth="1"/>
    <col min="17" max="17" width="12.109375" customWidth="1"/>
    <col min="18" max="18" width="20.5546875" customWidth="1"/>
    <col min="19" max="19" width="11.5546875" customWidth="1"/>
    <col min="20" max="20" width="18.44140625" customWidth="1"/>
    <col min="21" max="21" width="11.5546875" customWidth="1"/>
    <col min="22" max="22" width="16.44140625" customWidth="1"/>
    <col min="24" max="24" width="13.109375" customWidth="1"/>
    <col min="25" max="25" width="15.109375" customWidth="1"/>
    <col min="26" max="26" width="17.21875" customWidth="1"/>
    <col min="27" max="27" width="14.5546875" customWidth="1"/>
    <col min="28" max="28" width="14.33203125" customWidth="1"/>
    <col min="29" max="29" width="9.77734375" customWidth="1"/>
    <col min="30" max="30" width="18.21875" customWidth="1"/>
    <col min="45" max="45" width="13.5546875" bestFit="1" customWidth="1"/>
  </cols>
  <sheetData>
    <row r="7" spans="1:45" x14ac:dyDescent="0.3">
      <c r="A7" t="s">
        <v>0</v>
      </c>
      <c r="B7" t="s">
        <v>1</v>
      </c>
      <c r="C7" t="s">
        <v>2</v>
      </c>
      <c r="D7" t="s">
        <v>207</v>
      </c>
      <c r="E7" t="s">
        <v>3</v>
      </c>
      <c r="F7" t="s">
        <v>208</v>
      </c>
      <c r="G7" t="s">
        <v>4</v>
      </c>
      <c r="H7" t="s">
        <v>209</v>
      </c>
      <c r="I7" t="s">
        <v>5</v>
      </c>
      <c r="J7" t="s">
        <v>210</v>
      </c>
      <c r="K7" t="s">
        <v>6</v>
      </c>
      <c r="L7" t="s">
        <v>211</v>
      </c>
      <c r="M7" t="s">
        <v>7</v>
      </c>
      <c r="N7" t="s">
        <v>212</v>
      </c>
      <c r="O7" t="s">
        <v>8</v>
      </c>
      <c r="P7" t="s">
        <v>213</v>
      </c>
      <c r="Q7" t="s">
        <v>9</v>
      </c>
      <c r="R7" t="s">
        <v>214</v>
      </c>
      <c r="S7" t="s">
        <v>10</v>
      </c>
      <c r="T7" t="s">
        <v>215</v>
      </c>
      <c r="U7" t="s">
        <v>11</v>
      </c>
      <c r="V7" t="s">
        <v>216</v>
      </c>
      <c r="W7" t="s">
        <v>12</v>
      </c>
      <c r="X7" t="s">
        <v>217</v>
      </c>
      <c r="Y7" t="s">
        <v>14</v>
      </c>
      <c r="Z7" t="s">
        <v>218</v>
      </c>
      <c r="AA7" t="s">
        <v>15</v>
      </c>
      <c r="AB7" t="s">
        <v>219</v>
      </c>
      <c r="AC7" t="s">
        <v>206</v>
      </c>
      <c r="AD7" t="s">
        <v>220</v>
      </c>
    </row>
    <row r="8" spans="1:45" x14ac:dyDescent="0.3">
      <c r="A8" t="s">
        <v>30</v>
      </c>
      <c r="B8">
        <v>2022</v>
      </c>
      <c r="C8" t="s">
        <v>41</v>
      </c>
      <c r="D8" s="17">
        <v>44682</v>
      </c>
      <c r="E8">
        <v>152.9</v>
      </c>
      <c r="G8">
        <v>214.7</v>
      </c>
      <c r="I8">
        <v>161.4</v>
      </c>
      <c r="K8">
        <v>164.6</v>
      </c>
      <c r="M8">
        <v>209.9</v>
      </c>
      <c r="O8">
        <v>168</v>
      </c>
      <c r="Q8">
        <v>160.4</v>
      </c>
      <c r="S8">
        <v>165</v>
      </c>
      <c r="U8">
        <v>118.9</v>
      </c>
      <c r="W8">
        <v>186.6</v>
      </c>
      <c r="Y8">
        <v>180.4</v>
      </c>
      <c r="AA8">
        <v>170.8</v>
      </c>
      <c r="AC8">
        <v>171.13333333333335</v>
      </c>
    </row>
    <row r="9" spans="1:45" x14ac:dyDescent="0.3">
      <c r="A9" t="s">
        <v>30</v>
      </c>
      <c r="B9">
        <v>2022</v>
      </c>
      <c r="C9" t="s">
        <v>42</v>
      </c>
      <c r="D9" s="17">
        <v>44713</v>
      </c>
      <c r="E9">
        <v>153.80000000000001</v>
      </c>
      <c r="F9" s="14">
        <f>(E9-E8)/E8</f>
        <v>5.8862001308044847E-3</v>
      </c>
      <c r="G9">
        <v>217.2</v>
      </c>
      <c r="H9" s="14">
        <f>(G9-G8)/G8</f>
        <v>1.1644154634373545E-2</v>
      </c>
      <c r="I9">
        <v>169.6</v>
      </c>
      <c r="J9" s="14">
        <f>(I9-I8)/I8</f>
        <v>5.0805452292441065E-2</v>
      </c>
      <c r="K9">
        <v>165.4</v>
      </c>
      <c r="L9" s="14">
        <f>(K9-K8)/K8</f>
        <v>4.8602673147023776E-3</v>
      </c>
      <c r="M9">
        <v>208.1</v>
      </c>
      <c r="N9" s="14">
        <f>(M9-M8)/M8</f>
        <v>-8.5755121486422638E-3</v>
      </c>
      <c r="O9">
        <v>165.8</v>
      </c>
      <c r="P9" s="14">
        <f>(O9-O8)/O8</f>
        <v>-1.3095238095238028E-2</v>
      </c>
      <c r="Q9">
        <v>167.3</v>
      </c>
      <c r="R9" s="14">
        <f>(Q9-Q8)/Q8</f>
        <v>4.3017456359102278E-2</v>
      </c>
      <c r="S9">
        <v>164.6</v>
      </c>
      <c r="T9" s="14">
        <f>(S9-S8)/S8</f>
        <v>-2.4242424242424585E-3</v>
      </c>
      <c r="U9">
        <v>119.1</v>
      </c>
      <c r="V9" s="14">
        <f t="shared" ref="V9:AD20" si="0">(U9-U8)/U8</f>
        <v>1.6820857863750094E-3</v>
      </c>
      <c r="W9">
        <v>188.9</v>
      </c>
      <c r="X9" s="14">
        <f t="shared" si="0"/>
        <v>1.2325830653804992E-2</v>
      </c>
      <c r="Y9">
        <v>181.9</v>
      </c>
      <c r="Z9" s="14">
        <f t="shared" si="0"/>
        <v>8.3148558758314849E-3</v>
      </c>
      <c r="AA9">
        <v>172.4</v>
      </c>
      <c r="AB9" s="14">
        <f t="shared" si="0"/>
        <v>9.3676814988290051E-3</v>
      </c>
      <c r="AC9">
        <v>172.84166666666667</v>
      </c>
      <c r="AD9" s="14">
        <f t="shared" si="0"/>
        <v>9.9824698091155878E-3</v>
      </c>
      <c r="AS9" s="9" t="s">
        <v>174</v>
      </c>
    </row>
    <row r="10" spans="1:45" x14ac:dyDescent="0.3">
      <c r="A10" t="s">
        <v>30</v>
      </c>
      <c r="B10">
        <v>2022</v>
      </c>
      <c r="C10" t="s">
        <v>44</v>
      </c>
      <c r="D10" s="17">
        <v>44743</v>
      </c>
      <c r="E10">
        <v>155.19999999999999</v>
      </c>
      <c r="F10" s="14">
        <f t="shared" ref="F10:F20" si="1">(E10-E9)/E9</f>
        <v>9.102730819245626E-3</v>
      </c>
      <c r="G10">
        <v>210.8</v>
      </c>
      <c r="H10" s="14">
        <f t="shared" ref="H10:H20" si="2">(G10-G9)/G9</f>
        <v>-2.9465930018416103E-2</v>
      </c>
      <c r="I10">
        <v>174.3</v>
      </c>
      <c r="J10" s="14">
        <f t="shared" ref="J10:J20" si="3">(I10-I9)/I9</f>
        <v>2.7712264150943498E-2</v>
      </c>
      <c r="K10">
        <v>166.3</v>
      </c>
      <c r="L10" s="14">
        <f t="shared" ref="L10:L20" si="4">(K10-K9)/K9</f>
        <v>5.4413542926239761E-3</v>
      </c>
      <c r="M10">
        <v>202.2</v>
      </c>
      <c r="N10" s="14">
        <f t="shared" ref="N10:N20" si="5">(M10-M9)/M9</f>
        <v>-2.8351753964440202E-2</v>
      </c>
      <c r="O10">
        <v>169.6</v>
      </c>
      <c r="P10" s="14">
        <f t="shared" ref="P10:P20" si="6">(O10-O9)/O9</f>
        <v>2.2919179734619918E-2</v>
      </c>
      <c r="Q10">
        <v>168.6</v>
      </c>
      <c r="R10" s="14">
        <f t="shared" ref="R10:R20" si="7">(Q10-Q9)/Q9</f>
        <v>7.770472205618547E-3</v>
      </c>
      <c r="S10">
        <v>164.4</v>
      </c>
      <c r="T10" s="14">
        <f t="shared" ref="T10:T20" si="8">(S10-S9)/S9</f>
        <v>-1.2150668286755081E-3</v>
      </c>
      <c r="U10">
        <v>119.2</v>
      </c>
      <c r="V10" s="14">
        <f t="shared" si="0"/>
        <v>8.3963056255254855E-4</v>
      </c>
      <c r="W10">
        <v>191.8</v>
      </c>
      <c r="X10" s="14">
        <f t="shared" si="0"/>
        <v>1.5352038115405005E-2</v>
      </c>
      <c r="Y10">
        <v>183.1</v>
      </c>
      <c r="Z10" s="14">
        <f t="shared" si="0"/>
        <v>6.5970313358987825E-3</v>
      </c>
      <c r="AA10">
        <v>172.5</v>
      </c>
      <c r="AB10" s="14">
        <f t="shared" si="0"/>
        <v>5.80046403712264E-4</v>
      </c>
      <c r="AC10">
        <v>173.16666666666666</v>
      </c>
      <c r="AD10" s="14">
        <f t="shared" si="0"/>
        <v>1.8803336386865935E-3</v>
      </c>
      <c r="AS10" s="10" t="s">
        <v>33</v>
      </c>
    </row>
    <row r="11" spans="1:45" x14ac:dyDescent="0.3">
      <c r="A11" t="s">
        <v>30</v>
      </c>
      <c r="B11">
        <v>2022</v>
      </c>
      <c r="C11" t="s">
        <v>46</v>
      </c>
      <c r="D11" s="17">
        <v>44774</v>
      </c>
      <c r="E11">
        <v>159.5</v>
      </c>
      <c r="F11" s="14">
        <f t="shared" si="1"/>
        <v>2.7706185567010384E-2</v>
      </c>
      <c r="G11">
        <v>204.1</v>
      </c>
      <c r="H11" s="14">
        <f t="shared" si="2"/>
        <v>-3.1783681214421329E-2</v>
      </c>
      <c r="I11">
        <v>168.3</v>
      </c>
      <c r="J11" s="14">
        <f t="shared" si="3"/>
        <v>-3.4423407917383818E-2</v>
      </c>
      <c r="K11">
        <v>167.9</v>
      </c>
      <c r="L11" s="14">
        <f t="shared" si="4"/>
        <v>9.6211665664461474E-3</v>
      </c>
      <c r="M11">
        <v>198.1</v>
      </c>
      <c r="N11" s="14">
        <f t="shared" si="5"/>
        <v>-2.0276953511374849E-2</v>
      </c>
      <c r="O11">
        <v>169.2</v>
      </c>
      <c r="P11" s="14">
        <f t="shared" si="6"/>
        <v>-2.3584905660377696E-3</v>
      </c>
      <c r="Q11">
        <v>173.1</v>
      </c>
      <c r="R11" s="14">
        <f t="shared" si="7"/>
        <v>2.6690391459074734E-2</v>
      </c>
      <c r="S11">
        <v>167.1</v>
      </c>
      <c r="T11" s="14">
        <f t="shared" si="8"/>
        <v>1.6423357664233508E-2</v>
      </c>
      <c r="U11">
        <v>120.2</v>
      </c>
      <c r="V11" s="14">
        <f t="shared" si="0"/>
        <v>8.389261744966443E-3</v>
      </c>
      <c r="W11">
        <v>195.6</v>
      </c>
      <c r="X11" s="14">
        <f t="shared" si="0"/>
        <v>1.981230448383724E-2</v>
      </c>
      <c r="Y11">
        <v>184</v>
      </c>
      <c r="Z11" s="14">
        <f t="shared" si="0"/>
        <v>4.9153468050246079E-3</v>
      </c>
      <c r="AA11">
        <v>173.9</v>
      </c>
      <c r="AB11" s="14">
        <f t="shared" si="0"/>
        <v>8.1159420289855407E-3</v>
      </c>
      <c r="AC11">
        <v>173.41666666666666</v>
      </c>
      <c r="AD11" s="14">
        <f t="shared" si="0"/>
        <v>1.4436958614051974E-3</v>
      </c>
      <c r="AS11" s="10" t="s">
        <v>175</v>
      </c>
    </row>
    <row r="12" spans="1:45" x14ac:dyDescent="0.3">
      <c r="A12" t="s">
        <v>30</v>
      </c>
      <c r="B12">
        <v>2022</v>
      </c>
      <c r="C12" t="s">
        <v>48</v>
      </c>
      <c r="D12" s="17">
        <v>44805</v>
      </c>
      <c r="E12">
        <v>162.9</v>
      </c>
      <c r="F12" s="14">
        <f t="shared" si="1"/>
        <v>2.1316614420062732E-2</v>
      </c>
      <c r="G12">
        <v>206.7</v>
      </c>
      <c r="H12" s="14">
        <f t="shared" si="2"/>
        <v>1.2738853503184686E-2</v>
      </c>
      <c r="I12">
        <v>169</v>
      </c>
      <c r="J12" s="14">
        <f t="shared" si="3"/>
        <v>4.1592394533570328E-3</v>
      </c>
      <c r="K12">
        <v>169.5</v>
      </c>
      <c r="L12" s="14">
        <f t="shared" si="4"/>
        <v>9.5294818344252193E-3</v>
      </c>
      <c r="M12">
        <v>194.1</v>
      </c>
      <c r="N12" s="14">
        <f t="shared" si="5"/>
        <v>-2.0191822311963654E-2</v>
      </c>
      <c r="O12">
        <v>164.1</v>
      </c>
      <c r="P12" s="14">
        <f t="shared" si="6"/>
        <v>-3.0141843971631173E-2</v>
      </c>
      <c r="Q12">
        <v>176.9</v>
      </c>
      <c r="R12" s="14">
        <f t="shared" si="7"/>
        <v>2.1952628538417167E-2</v>
      </c>
      <c r="S12">
        <v>169</v>
      </c>
      <c r="T12" s="14">
        <f t="shared" si="8"/>
        <v>1.1370436864153236E-2</v>
      </c>
      <c r="U12">
        <v>120.8</v>
      </c>
      <c r="V12" s="14">
        <f t="shared" si="0"/>
        <v>4.9916805324458757E-3</v>
      </c>
      <c r="W12">
        <v>199.1</v>
      </c>
      <c r="X12" s="14">
        <f t="shared" si="0"/>
        <v>1.7893660531697341E-2</v>
      </c>
      <c r="Y12">
        <v>184.8</v>
      </c>
      <c r="Z12" s="14">
        <f t="shared" si="0"/>
        <v>4.3478260869565834E-3</v>
      </c>
      <c r="AA12">
        <v>175.5</v>
      </c>
      <c r="AB12" s="14">
        <f t="shared" si="0"/>
        <v>9.2006900517538487E-3</v>
      </c>
      <c r="AC12">
        <v>174.36666666666665</v>
      </c>
      <c r="AD12" s="14">
        <f t="shared" si="0"/>
        <v>5.4781355117731207E-3</v>
      </c>
    </row>
    <row r="13" spans="1:45" x14ac:dyDescent="0.3">
      <c r="A13" t="s">
        <v>30</v>
      </c>
      <c r="B13">
        <v>2022</v>
      </c>
      <c r="C13" t="s">
        <v>50</v>
      </c>
      <c r="D13" s="17">
        <v>44835</v>
      </c>
      <c r="E13">
        <v>164.7</v>
      </c>
      <c r="F13" s="14">
        <f t="shared" si="1"/>
        <v>1.1049723756905973E-2</v>
      </c>
      <c r="G13">
        <v>208.8</v>
      </c>
      <c r="H13" s="14">
        <f t="shared" si="2"/>
        <v>1.0159651669085742E-2</v>
      </c>
      <c r="I13">
        <v>170.3</v>
      </c>
      <c r="J13" s="14">
        <f t="shared" si="3"/>
        <v>7.6923076923077595E-3</v>
      </c>
      <c r="K13">
        <v>170.9</v>
      </c>
      <c r="L13" s="14">
        <f t="shared" si="4"/>
        <v>8.2595870206490004E-3</v>
      </c>
      <c r="M13">
        <v>191.6</v>
      </c>
      <c r="N13" s="14">
        <f t="shared" si="5"/>
        <v>-1.2879958784131892E-2</v>
      </c>
      <c r="O13">
        <v>162.19999999999999</v>
      </c>
      <c r="P13" s="14">
        <f t="shared" si="6"/>
        <v>-1.1578305911029894E-2</v>
      </c>
      <c r="Q13">
        <v>184.8</v>
      </c>
      <c r="R13" s="14">
        <f t="shared" si="7"/>
        <v>4.4657998869417778E-2</v>
      </c>
      <c r="S13">
        <v>169.7</v>
      </c>
      <c r="T13" s="14">
        <f t="shared" si="8"/>
        <v>4.1420118343194591E-3</v>
      </c>
      <c r="U13">
        <v>121.1</v>
      </c>
      <c r="V13" s="14">
        <f t="shared" si="0"/>
        <v>2.4834437086092482E-3</v>
      </c>
      <c r="W13">
        <v>201.6</v>
      </c>
      <c r="X13" s="14">
        <f t="shared" si="0"/>
        <v>1.2556504269211451E-2</v>
      </c>
      <c r="Y13">
        <v>185.6</v>
      </c>
      <c r="Z13" s="14">
        <f t="shared" si="0"/>
        <v>4.3290043290042362E-3</v>
      </c>
      <c r="AA13">
        <v>177.4</v>
      </c>
      <c r="AB13" s="14">
        <f t="shared" si="0"/>
        <v>1.0826210826210859E-2</v>
      </c>
      <c r="AC13">
        <v>175.72499999999999</v>
      </c>
      <c r="AD13" s="14">
        <f t="shared" si="0"/>
        <v>7.7900974956988068E-3</v>
      </c>
    </row>
    <row r="14" spans="1:45" x14ac:dyDescent="0.3">
      <c r="A14" t="s">
        <v>30</v>
      </c>
      <c r="B14">
        <v>2022</v>
      </c>
      <c r="C14" t="s">
        <v>53</v>
      </c>
      <c r="D14" s="17">
        <v>44866</v>
      </c>
      <c r="E14">
        <v>166.9</v>
      </c>
      <c r="F14" s="14">
        <f t="shared" si="1"/>
        <v>1.3357619914997069E-2</v>
      </c>
      <c r="G14">
        <v>207.2</v>
      </c>
      <c r="H14" s="14">
        <f t="shared" si="2"/>
        <v>-7.6628352490422545E-3</v>
      </c>
      <c r="I14">
        <v>180.2</v>
      </c>
      <c r="J14" s="14">
        <f t="shared" si="3"/>
        <v>5.8132706987668682E-2</v>
      </c>
      <c r="K14">
        <v>172.3</v>
      </c>
      <c r="L14" s="14">
        <f t="shared" si="4"/>
        <v>8.1919251023990971E-3</v>
      </c>
      <c r="M14">
        <v>194</v>
      </c>
      <c r="N14" s="14">
        <f t="shared" si="5"/>
        <v>1.2526096033402953E-2</v>
      </c>
      <c r="O14">
        <v>159.1</v>
      </c>
      <c r="P14" s="14">
        <f t="shared" si="6"/>
        <v>-1.9112207151664579E-2</v>
      </c>
      <c r="Q14">
        <v>171.6</v>
      </c>
      <c r="R14" s="14">
        <f t="shared" si="7"/>
        <v>-7.1428571428571522E-2</v>
      </c>
      <c r="S14">
        <v>170.2</v>
      </c>
      <c r="T14" s="14">
        <f t="shared" si="8"/>
        <v>2.9463759575721863E-3</v>
      </c>
      <c r="U14">
        <v>121.5</v>
      </c>
      <c r="V14" s="14">
        <f t="shared" si="0"/>
        <v>3.3030553261767606E-3</v>
      </c>
      <c r="W14">
        <v>204.8</v>
      </c>
      <c r="X14" s="14">
        <f t="shared" si="0"/>
        <v>1.5873015873015959E-2</v>
      </c>
      <c r="Y14">
        <v>186.9</v>
      </c>
      <c r="Z14" s="14">
        <f t="shared" si="0"/>
        <v>7.0043103448276479E-3</v>
      </c>
      <c r="AA14">
        <v>176.6</v>
      </c>
      <c r="AB14" s="14">
        <f t="shared" si="0"/>
        <v>-4.5095828635851824E-3</v>
      </c>
      <c r="AC14">
        <v>175.94166666666663</v>
      </c>
      <c r="AD14" s="14">
        <f t="shared" si="0"/>
        <v>1.2329871484799554E-3</v>
      </c>
    </row>
    <row r="15" spans="1:45" x14ac:dyDescent="0.3">
      <c r="A15" t="s">
        <v>30</v>
      </c>
      <c r="B15">
        <v>2022</v>
      </c>
      <c r="C15" t="s">
        <v>55</v>
      </c>
      <c r="D15" s="17">
        <v>44896</v>
      </c>
      <c r="E15">
        <v>168.8</v>
      </c>
      <c r="F15" s="14">
        <f t="shared" si="1"/>
        <v>1.1384062312762167E-2</v>
      </c>
      <c r="G15">
        <v>206.9</v>
      </c>
      <c r="H15" s="14">
        <f t="shared" si="2"/>
        <v>-1.4478764478763656E-3</v>
      </c>
      <c r="I15">
        <v>189.1</v>
      </c>
      <c r="J15" s="14">
        <f t="shared" si="3"/>
        <v>4.9389567147613798E-2</v>
      </c>
      <c r="K15">
        <v>173.4</v>
      </c>
      <c r="L15" s="14">
        <f t="shared" si="4"/>
        <v>6.3842135809634021E-3</v>
      </c>
      <c r="M15">
        <v>193.9</v>
      </c>
      <c r="N15" s="14">
        <f t="shared" si="5"/>
        <v>-5.1546391752574393E-4</v>
      </c>
      <c r="O15">
        <v>156.69999999999999</v>
      </c>
      <c r="P15" s="14">
        <f t="shared" si="6"/>
        <v>-1.5084852294154657E-2</v>
      </c>
      <c r="Q15">
        <v>150.19999999999999</v>
      </c>
      <c r="R15" s="14">
        <f t="shared" si="7"/>
        <v>-0.12470862470862475</v>
      </c>
      <c r="S15">
        <v>170.5</v>
      </c>
      <c r="T15" s="14">
        <f t="shared" si="8"/>
        <v>1.7626321974148729E-3</v>
      </c>
      <c r="U15">
        <v>121.2</v>
      </c>
      <c r="V15" s="14">
        <f t="shared" si="0"/>
        <v>-2.4691358024691123E-3</v>
      </c>
      <c r="W15">
        <v>207.5</v>
      </c>
      <c r="X15" s="14">
        <f t="shared" si="0"/>
        <v>1.3183593749999944E-2</v>
      </c>
      <c r="Y15">
        <v>187.7</v>
      </c>
      <c r="Z15" s="14">
        <f t="shared" si="0"/>
        <v>4.2803638309255373E-3</v>
      </c>
      <c r="AA15">
        <v>174.4</v>
      </c>
      <c r="AB15" s="14">
        <f t="shared" si="0"/>
        <v>-1.2457531143827796E-2</v>
      </c>
      <c r="AC15">
        <v>175.02500000000001</v>
      </c>
      <c r="AD15" s="14">
        <f t="shared" si="0"/>
        <v>-5.2100601525124557E-3</v>
      </c>
    </row>
    <row r="16" spans="1:45" x14ac:dyDescent="0.3">
      <c r="A16" t="s">
        <v>30</v>
      </c>
      <c r="B16">
        <v>2023</v>
      </c>
      <c r="C16" t="s">
        <v>31</v>
      </c>
      <c r="D16" s="17">
        <v>44927</v>
      </c>
      <c r="E16">
        <v>174</v>
      </c>
      <c r="F16" s="14">
        <f t="shared" si="1"/>
        <v>3.0805687203791399E-2</v>
      </c>
      <c r="G16">
        <v>208.3</v>
      </c>
      <c r="H16" s="14">
        <f t="shared" si="2"/>
        <v>6.7665538907685143E-3</v>
      </c>
      <c r="I16">
        <v>192.9</v>
      </c>
      <c r="J16" s="14">
        <f t="shared" si="3"/>
        <v>2.009518773135913E-2</v>
      </c>
      <c r="K16">
        <v>174.3</v>
      </c>
      <c r="L16" s="14">
        <f t="shared" si="4"/>
        <v>5.1903114186851538E-3</v>
      </c>
      <c r="M16">
        <v>192.6</v>
      </c>
      <c r="N16" s="14">
        <f t="shared" si="5"/>
        <v>-6.7044868488912394E-3</v>
      </c>
      <c r="O16">
        <v>156.30000000000001</v>
      </c>
      <c r="P16" s="14">
        <f t="shared" si="6"/>
        <v>-2.5526483726865173E-3</v>
      </c>
      <c r="Q16">
        <v>142.9</v>
      </c>
      <c r="R16" s="14">
        <f t="shared" si="7"/>
        <v>-4.8601864181091768E-2</v>
      </c>
      <c r="S16">
        <v>170.7</v>
      </c>
      <c r="T16" s="14">
        <f t="shared" si="8"/>
        <v>1.173020527859171E-3</v>
      </c>
      <c r="U16">
        <v>120.3</v>
      </c>
      <c r="V16" s="14">
        <f t="shared" si="0"/>
        <v>-7.4257425742574722E-3</v>
      </c>
      <c r="W16">
        <v>210.5</v>
      </c>
      <c r="X16" s="14">
        <f t="shared" si="0"/>
        <v>1.4457831325301205E-2</v>
      </c>
      <c r="Y16">
        <v>188.5</v>
      </c>
      <c r="Z16" s="14">
        <f t="shared" si="0"/>
        <v>4.2621204049014989E-3</v>
      </c>
      <c r="AA16">
        <v>175</v>
      </c>
      <c r="AB16" s="14">
        <f t="shared" si="0"/>
        <v>3.4403669724770315E-3</v>
      </c>
      <c r="AC16">
        <v>175.52500000000001</v>
      </c>
      <c r="AD16" s="14">
        <f t="shared" si="0"/>
        <v>2.8567347521782603E-3</v>
      </c>
    </row>
    <row r="17" spans="1:30" x14ac:dyDescent="0.3">
      <c r="A17" t="s">
        <v>30</v>
      </c>
      <c r="B17">
        <v>2023</v>
      </c>
      <c r="C17" t="s">
        <v>36</v>
      </c>
      <c r="D17" s="17">
        <v>44958</v>
      </c>
      <c r="E17">
        <v>174.2</v>
      </c>
      <c r="F17" s="14">
        <f t="shared" si="1"/>
        <v>1.1494252873562566E-3</v>
      </c>
      <c r="G17">
        <v>205.2</v>
      </c>
      <c r="H17" s="14">
        <f t="shared" si="2"/>
        <v>-1.4882381180989066E-2</v>
      </c>
      <c r="I17">
        <v>173.9</v>
      </c>
      <c r="J17" s="14">
        <f t="shared" si="3"/>
        <v>-9.8496630378434424E-2</v>
      </c>
      <c r="K17">
        <v>177</v>
      </c>
      <c r="L17" s="14">
        <f t="shared" si="4"/>
        <v>1.5490533562822654E-2</v>
      </c>
      <c r="M17">
        <v>183.4</v>
      </c>
      <c r="N17" s="14">
        <f t="shared" si="5"/>
        <v>-4.7767393561786026E-2</v>
      </c>
      <c r="O17">
        <v>167.2</v>
      </c>
      <c r="P17" s="14">
        <f t="shared" si="6"/>
        <v>6.973768394113869E-2</v>
      </c>
      <c r="Q17">
        <v>140.9</v>
      </c>
      <c r="R17" s="14">
        <f t="shared" si="7"/>
        <v>-1.3995801259622112E-2</v>
      </c>
      <c r="S17">
        <v>170.4</v>
      </c>
      <c r="T17" s="14">
        <f t="shared" si="8"/>
        <v>-1.7574692442881251E-3</v>
      </c>
      <c r="U17">
        <v>119.1</v>
      </c>
      <c r="V17" s="14">
        <f t="shared" si="0"/>
        <v>-9.9750623441396749E-3</v>
      </c>
      <c r="W17">
        <v>212.1</v>
      </c>
      <c r="X17" s="14">
        <f t="shared" si="0"/>
        <v>7.6009501187648187E-3</v>
      </c>
      <c r="Y17">
        <v>189.9</v>
      </c>
      <c r="Z17" s="14">
        <f t="shared" si="0"/>
        <v>7.4270557029178022E-3</v>
      </c>
      <c r="AA17">
        <v>174.8</v>
      </c>
      <c r="AB17" s="14">
        <f t="shared" si="0"/>
        <v>-1.1428571428570779E-3</v>
      </c>
      <c r="AC17">
        <v>174.00833333333333</v>
      </c>
      <c r="AD17" s="14">
        <f t="shared" si="0"/>
        <v>-8.6407444333666417E-3</v>
      </c>
    </row>
    <row r="18" spans="1:30" x14ac:dyDescent="0.3">
      <c r="A18" t="s">
        <v>30</v>
      </c>
      <c r="B18">
        <v>2023</v>
      </c>
      <c r="C18" t="s">
        <v>38</v>
      </c>
      <c r="D18" s="17">
        <v>44986</v>
      </c>
      <c r="E18">
        <v>174.3</v>
      </c>
      <c r="F18" s="14">
        <f t="shared" si="1"/>
        <v>5.7405281285891356E-4</v>
      </c>
      <c r="G18">
        <v>205.2</v>
      </c>
      <c r="H18" s="14">
        <f t="shared" si="2"/>
        <v>0</v>
      </c>
      <c r="I18">
        <v>173.9</v>
      </c>
      <c r="J18" s="14">
        <f t="shared" si="3"/>
        <v>0</v>
      </c>
      <c r="K18">
        <v>177</v>
      </c>
      <c r="L18" s="14">
        <f t="shared" si="4"/>
        <v>0</v>
      </c>
      <c r="M18">
        <v>183.3</v>
      </c>
      <c r="N18" s="14">
        <f t="shared" si="5"/>
        <v>-5.4525627044707916E-4</v>
      </c>
      <c r="O18">
        <v>167.2</v>
      </c>
      <c r="P18" s="14">
        <f t="shared" si="6"/>
        <v>0</v>
      </c>
      <c r="Q18">
        <v>140.9</v>
      </c>
      <c r="R18" s="14">
        <f t="shared" si="7"/>
        <v>0</v>
      </c>
      <c r="S18">
        <v>170.5</v>
      </c>
      <c r="T18" s="14">
        <f t="shared" si="8"/>
        <v>5.8685446009386333E-4</v>
      </c>
      <c r="U18">
        <v>119.1</v>
      </c>
      <c r="V18" s="14">
        <f t="shared" si="0"/>
        <v>0</v>
      </c>
      <c r="W18">
        <v>212.1</v>
      </c>
      <c r="X18" s="14">
        <f t="shared" si="0"/>
        <v>0</v>
      </c>
      <c r="Y18">
        <v>189.9</v>
      </c>
      <c r="Z18" s="14">
        <f t="shared" si="0"/>
        <v>0</v>
      </c>
      <c r="AA18">
        <v>174.8</v>
      </c>
      <c r="AB18" s="14">
        <f t="shared" si="0"/>
        <v>0</v>
      </c>
      <c r="AC18">
        <v>174.01666666666668</v>
      </c>
      <c r="AD18" s="14">
        <f t="shared" si="0"/>
        <v>4.7890426703821708E-5</v>
      </c>
    </row>
    <row r="19" spans="1:30" x14ac:dyDescent="0.3">
      <c r="A19" t="s">
        <v>30</v>
      </c>
      <c r="B19">
        <v>2023</v>
      </c>
      <c r="C19" t="s">
        <v>39</v>
      </c>
      <c r="D19" s="17">
        <v>45017</v>
      </c>
      <c r="E19">
        <v>173.3</v>
      </c>
      <c r="F19" s="14">
        <f t="shared" si="1"/>
        <v>-5.737234652897303E-3</v>
      </c>
      <c r="G19">
        <v>206.9</v>
      </c>
      <c r="H19" s="14">
        <f t="shared" si="2"/>
        <v>8.2846003898636306E-3</v>
      </c>
      <c r="I19">
        <v>167.9</v>
      </c>
      <c r="J19" s="14">
        <f t="shared" si="3"/>
        <v>-3.4502587694077054E-2</v>
      </c>
      <c r="K19">
        <v>178.2</v>
      </c>
      <c r="L19" s="14">
        <f t="shared" si="4"/>
        <v>6.7796610169490882E-3</v>
      </c>
      <c r="M19">
        <v>178.5</v>
      </c>
      <c r="N19" s="14">
        <f t="shared" si="5"/>
        <v>-2.61865793780688E-2</v>
      </c>
      <c r="O19">
        <v>173.7</v>
      </c>
      <c r="P19" s="14">
        <f t="shared" si="6"/>
        <v>3.8875598086124404E-2</v>
      </c>
      <c r="Q19">
        <v>142.80000000000001</v>
      </c>
      <c r="R19" s="14">
        <f t="shared" si="7"/>
        <v>1.3484740951029138E-2</v>
      </c>
      <c r="S19">
        <v>172.8</v>
      </c>
      <c r="T19" s="14">
        <f t="shared" si="8"/>
        <v>1.3489736070381298E-2</v>
      </c>
      <c r="U19">
        <v>120.4</v>
      </c>
      <c r="V19" s="14">
        <f t="shared" si="0"/>
        <v>1.0915197313182296E-2</v>
      </c>
      <c r="W19">
        <v>215.5</v>
      </c>
      <c r="X19" s="14">
        <f t="shared" si="0"/>
        <v>1.6030174446016059E-2</v>
      </c>
      <c r="Y19">
        <v>190.5</v>
      </c>
      <c r="Z19" s="14">
        <f t="shared" si="0"/>
        <v>3.1595576619273002E-3</v>
      </c>
      <c r="AA19">
        <v>175.5</v>
      </c>
      <c r="AB19" s="14">
        <f t="shared" si="0"/>
        <v>4.0045766590388367E-3</v>
      </c>
      <c r="AC19">
        <v>174.66666666666666</v>
      </c>
      <c r="AD19" s="14">
        <f t="shared" si="0"/>
        <v>3.7352743990037959E-3</v>
      </c>
    </row>
    <row r="20" spans="1:30" x14ac:dyDescent="0.3">
      <c r="A20" t="s">
        <v>30</v>
      </c>
      <c r="B20">
        <v>2023</v>
      </c>
      <c r="C20" t="s">
        <v>41</v>
      </c>
      <c r="D20" s="17">
        <v>45047</v>
      </c>
      <c r="E20">
        <v>173.2</v>
      </c>
      <c r="F20" s="14">
        <f t="shared" si="1"/>
        <v>-5.7703404500878666E-4</v>
      </c>
      <c r="G20">
        <v>211.5</v>
      </c>
      <c r="H20" s="14">
        <f t="shared" si="2"/>
        <v>2.2232962783953574E-2</v>
      </c>
      <c r="I20">
        <v>171</v>
      </c>
      <c r="J20" s="14">
        <f t="shared" si="3"/>
        <v>1.8463371054198895E-2</v>
      </c>
      <c r="K20">
        <v>179.6</v>
      </c>
      <c r="L20" s="14">
        <f t="shared" si="4"/>
        <v>7.8563411896745549E-3</v>
      </c>
      <c r="M20">
        <v>173.3</v>
      </c>
      <c r="N20" s="14">
        <f t="shared" si="5"/>
        <v>-2.913165266106436E-2</v>
      </c>
      <c r="O20">
        <v>169</v>
      </c>
      <c r="P20" s="14">
        <f t="shared" si="6"/>
        <v>-2.7058146229130622E-2</v>
      </c>
      <c r="Q20">
        <v>148.69999999999999</v>
      </c>
      <c r="R20" s="14">
        <f t="shared" si="7"/>
        <v>4.1316526610644097E-2</v>
      </c>
      <c r="S20">
        <v>174.9</v>
      </c>
      <c r="T20" s="14">
        <f t="shared" si="8"/>
        <v>1.2152777777777743E-2</v>
      </c>
      <c r="U20">
        <v>121.9</v>
      </c>
      <c r="V20" s="14">
        <f t="shared" si="0"/>
        <v>1.2458471760797342E-2</v>
      </c>
      <c r="W20">
        <v>221</v>
      </c>
      <c r="X20" s="14">
        <f t="shared" si="0"/>
        <v>2.5522041763341066E-2</v>
      </c>
      <c r="Y20">
        <v>191.1</v>
      </c>
      <c r="Z20" s="14">
        <f t="shared" si="0"/>
        <v>3.1496062992125685E-3</v>
      </c>
      <c r="AA20">
        <v>176.8</v>
      </c>
      <c r="AB20" s="14">
        <f t="shared" si="0"/>
        <v>7.4074074074074719E-3</v>
      </c>
      <c r="AC20">
        <v>176.00000000000003</v>
      </c>
      <c r="AD20" s="14">
        <f t="shared" si="0"/>
        <v>7.6335877862597594E-3</v>
      </c>
    </row>
    <row r="21" spans="1:30" x14ac:dyDescent="0.3">
      <c r="A21" t="s">
        <v>35</v>
      </c>
      <c r="B21">
        <v>2022</v>
      </c>
      <c r="C21" t="s">
        <v>41</v>
      </c>
      <c r="D21" s="17">
        <v>44682</v>
      </c>
      <c r="E21">
        <v>154.1</v>
      </c>
      <c r="G21">
        <v>217</v>
      </c>
      <c r="I21">
        <v>162.4</v>
      </c>
      <c r="K21">
        <v>164.9</v>
      </c>
      <c r="M21">
        <v>202.4</v>
      </c>
      <c r="O21">
        <v>171</v>
      </c>
      <c r="Q21">
        <v>174.9</v>
      </c>
      <c r="S21">
        <v>164.7</v>
      </c>
      <c r="U21">
        <v>119.7</v>
      </c>
      <c r="W21">
        <v>184.9</v>
      </c>
      <c r="Y21">
        <v>182.5</v>
      </c>
      <c r="AA21">
        <v>173.3</v>
      </c>
      <c r="AC21">
        <v>172.65</v>
      </c>
    </row>
    <row r="22" spans="1:30" x14ac:dyDescent="0.3">
      <c r="A22" t="s">
        <v>35</v>
      </c>
      <c r="B22">
        <v>2022</v>
      </c>
      <c r="C22" t="s">
        <v>42</v>
      </c>
      <c r="D22" s="17">
        <v>44713</v>
      </c>
      <c r="E22">
        <v>155</v>
      </c>
      <c r="F22" s="14">
        <f>(E22-E21)/E21</f>
        <v>5.8403634003893947E-3</v>
      </c>
      <c r="G22">
        <v>219.4</v>
      </c>
      <c r="H22" s="14">
        <f>(G22-G21)/G21</f>
        <v>1.1059907834101408E-2</v>
      </c>
      <c r="I22">
        <v>170.8</v>
      </c>
      <c r="J22" s="14">
        <f>(I22-I21)/I21</f>
        <v>5.1724137931034517E-2</v>
      </c>
      <c r="K22">
        <v>165.8</v>
      </c>
      <c r="L22" s="14">
        <f>(K22-K21)/K21</f>
        <v>5.4578532443905741E-3</v>
      </c>
      <c r="M22">
        <v>200.9</v>
      </c>
      <c r="N22" s="14">
        <f>(M22-M21)/M21</f>
        <v>-7.411067193675889E-3</v>
      </c>
      <c r="O22">
        <v>169.7</v>
      </c>
      <c r="P22" s="14">
        <f>(O22-O21)/O21</f>
        <v>-7.6023391812866164E-3</v>
      </c>
      <c r="Q22">
        <v>182.3</v>
      </c>
      <c r="R22" s="14">
        <f>(Q22-Q21)/Q21</f>
        <v>4.230989136649517E-2</v>
      </c>
      <c r="S22">
        <v>164.3</v>
      </c>
      <c r="T22" s="14">
        <f>(S22-S21)/S21</f>
        <v>-2.4286581663629466E-3</v>
      </c>
      <c r="U22">
        <v>119.9</v>
      </c>
      <c r="V22" s="14">
        <f>(U22-U21)/U21</f>
        <v>1.6708437761069578E-3</v>
      </c>
      <c r="W22">
        <v>187.1</v>
      </c>
      <c r="X22" s="14">
        <f>(W22-W21)/W21</f>
        <v>1.1898323418063756E-2</v>
      </c>
      <c r="Y22">
        <v>183.9</v>
      </c>
      <c r="Z22" s="14">
        <f>(Y22-Y21)/Y21</f>
        <v>7.6712328767123599E-3</v>
      </c>
      <c r="AA22">
        <v>174.9</v>
      </c>
      <c r="AB22" s="14">
        <f>(AA22-AA21)/AA21</f>
        <v>9.2325447201384546E-3</v>
      </c>
      <c r="AC22">
        <v>174.5</v>
      </c>
      <c r="AD22" s="14">
        <f>(AC22-AC21)/AC21</f>
        <v>1.0715320011584097E-2</v>
      </c>
    </row>
    <row r="23" spans="1:30" x14ac:dyDescent="0.3">
      <c r="A23" t="s">
        <v>35</v>
      </c>
      <c r="B23">
        <v>2022</v>
      </c>
      <c r="C23" t="s">
        <v>44</v>
      </c>
      <c r="D23" s="17">
        <v>44743</v>
      </c>
      <c r="E23">
        <v>156.5</v>
      </c>
      <c r="F23" s="14">
        <f t="shared" ref="F23:F33" si="9">(E23-E22)/E22</f>
        <v>9.6774193548387101E-3</v>
      </c>
      <c r="G23">
        <v>213</v>
      </c>
      <c r="H23" s="14">
        <f t="shared" ref="H23:H33" si="10">(G23-G22)/G22</f>
        <v>-2.9170464904284436E-2</v>
      </c>
      <c r="I23">
        <v>175.2</v>
      </c>
      <c r="J23" s="14">
        <f t="shared" ref="J23:J33" si="11">(I23-I22)/I22</f>
        <v>2.5761124121779725E-2</v>
      </c>
      <c r="K23">
        <v>166.6</v>
      </c>
      <c r="L23" s="14">
        <f t="shared" ref="L23:L33" si="12">(K23-K22)/K22</f>
        <v>4.8250904704462173E-3</v>
      </c>
      <c r="M23">
        <v>195.8</v>
      </c>
      <c r="N23" s="14">
        <f t="shared" ref="N23:N33" si="13">(M23-M22)/M22</f>
        <v>-2.5385764061722219E-2</v>
      </c>
      <c r="O23">
        <v>174.2</v>
      </c>
      <c r="P23" s="14">
        <f t="shared" ref="P23:P33" si="14">(O23-O22)/O22</f>
        <v>2.6517383618149679E-2</v>
      </c>
      <c r="Q23">
        <v>182.1</v>
      </c>
      <c r="R23" s="14">
        <f t="shared" ref="R23:R33" si="15">(Q23-Q22)/Q22</f>
        <v>-1.0970927043336097E-3</v>
      </c>
      <c r="S23">
        <v>164.3</v>
      </c>
      <c r="T23" s="14">
        <f t="shared" ref="T23:T33" si="16">(S23-S22)/S22</f>
        <v>0</v>
      </c>
      <c r="U23">
        <v>120</v>
      </c>
      <c r="V23" s="14">
        <f t="shared" ref="V23:V33" si="17">(U23-U22)/U22</f>
        <v>8.3402835696408937E-4</v>
      </c>
      <c r="W23">
        <v>190</v>
      </c>
      <c r="X23" s="14">
        <f t="shared" ref="X23:X33" si="18">(W23-W22)/W22</f>
        <v>1.5499732763228252E-2</v>
      </c>
      <c r="Y23">
        <v>185.2</v>
      </c>
      <c r="Z23" s="14">
        <f t="shared" ref="Z23:Z33" si="19">(Y23-Y22)/Y22</f>
        <v>7.0690592713430287E-3</v>
      </c>
      <c r="AA23">
        <v>175</v>
      </c>
      <c r="AB23" s="14">
        <f t="shared" ref="AB23:AB33" si="20">(AA23-AA22)/AA22</f>
        <v>5.7175528873638828E-4</v>
      </c>
      <c r="AC23">
        <v>174.82500000000002</v>
      </c>
      <c r="AD23" s="14">
        <f t="shared" ref="AD23:AD33" si="21">(AC23-AC22)/AC22</f>
        <v>1.8624641833811866E-3</v>
      </c>
    </row>
    <row r="24" spans="1:30" x14ac:dyDescent="0.3">
      <c r="A24" t="s">
        <v>35</v>
      </c>
      <c r="B24">
        <v>2022</v>
      </c>
      <c r="C24" t="s">
        <v>46</v>
      </c>
      <c r="D24" s="17">
        <v>44774</v>
      </c>
      <c r="E24">
        <v>160.30000000000001</v>
      </c>
      <c r="F24" s="14">
        <f t="shared" si="9"/>
        <v>2.4281150159744483E-2</v>
      </c>
      <c r="G24">
        <v>206.5</v>
      </c>
      <c r="H24" s="14">
        <f t="shared" si="10"/>
        <v>-3.0516431924882629E-2</v>
      </c>
      <c r="I24">
        <v>169.2</v>
      </c>
      <c r="J24" s="14">
        <f t="shared" si="11"/>
        <v>-3.4246575342465758E-2</v>
      </c>
      <c r="K24">
        <v>168.1</v>
      </c>
      <c r="L24" s="14">
        <f t="shared" si="12"/>
        <v>9.00360144057623E-3</v>
      </c>
      <c r="M24">
        <v>192.4</v>
      </c>
      <c r="N24" s="14">
        <f t="shared" si="13"/>
        <v>-1.7364657814096043E-2</v>
      </c>
      <c r="O24">
        <v>172.9</v>
      </c>
      <c r="P24" s="14">
        <f t="shared" si="14"/>
        <v>-7.4626865671640818E-3</v>
      </c>
      <c r="Q24">
        <v>186.7</v>
      </c>
      <c r="R24" s="14">
        <f t="shared" si="15"/>
        <v>2.5260845689181737E-2</v>
      </c>
      <c r="S24">
        <v>167.2</v>
      </c>
      <c r="T24" s="14">
        <f t="shared" si="16"/>
        <v>1.7650639074862917E-2</v>
      </c>
      <c r="U24">
        <v>120.9</v>
      </c>
      <c r="V24" s="14">
        <f t="shared" si="17"/>
        <v>7.5000000000000474E-3</v>
      </c>
      <c r="W24">
        <v>193.6</v>
      </c>
      <c r="X24" s="14">
        <f t="shared" si="18"/>
        <v>1.8947368421052602E-2</v>
      </c>
      <c r="Y24">
        <v>186.3</v>
      </c>
      <c r="Z24" s="14">
        <f t="shared" si="19"/>
        <v>5.9395248380130824E-3</v>
      </c>
      <c r="AA24">
        <v>176.3</v>
      </c>
      <c r="AB24" s="14">
        <f t="shared" si="20"/>
        <v>7.4285714285714935E-3</v>
      </c>
      <c r="AC24">
        <v>175.03333333333333</v>
      </c>
      <c r="AD24" s="14">
        <f t="shared" si="21"/>
        <v>1.1916678583344165E-3</v>
      </c>
    </row>
    <row r="25" spans="1:30" x14ac:dyDescent="0.3">
      <c r="A25" t="s">
        <v>35</v>
      </c>
      <c r="B25">
        <v>2022</v>
      </c>
      <c r="C25" t="s">
        <v>48</v>
      </c>
      <c r="D25" s="17">
        <v>44805</v>
      </c>
      <c r="E25">
        <v>163.5</v>
      </c>
      <c r="F25" s="14">
        <f t="shared" si="9"/>
        <v>1.9962570180910719E-2</v>
      </c>
      <c r="G25">
        <v>209.2</v>
      </c>
      <c r="H25" s="14">
        <f t="shared" si="10"/>
        <v>1.3075060532687597E-2</v>
      </c>
      <c r="I25">
        <v>169.7</v>
      </c>
      <c r="J25" s="14">
        <f t="shared" si="11"/>
        <v>2.9550827423167852E-3</v>
      </c>
      <c r="K25">
        <v>169.7</v>
      </c>
      <c r="L25" s="14">
        <f t="shared" si="12"/>
        <v>9.5181439619273899E-3</v>
      </c>
      <c r="M25">
        <v>188.7</v>
      </c>
      <c r="N25" s="14">
        <f t="shared" si="13"/>
        <v>-1.9230769230769319E-2</v>
      </c>
      <c r="O25">
        <v>165.7</v>
      </c>
      <c r="P25" s="14">
        <f t="shared" si="14"/>
        <v>-4.1642567958357531E-2</v>
      </c>
      <c r="Q25">
        <v>191.8</v>
      </c>
      <c r="R25" s="14">
        <f t="shared" si="15"/>
        <v>2.7316550615961558E-2</v>
      </c>
      <c r="S25">
        <v>169.1</v>
      </c>
      <c r="T25" s="14">
        <f t="shared" si="16"/>
        <v>1.1363636363636399E-2</v>
      </c>
      <c r="U25">
        <v>121.6</v>
      </c>
      <c r="V25" s="14">
        <f t="shared" si="17"/>
        <v>5.7899090157153728E-3</v>
      </c>
      <c r="W25">
        <v>197.3</v>
      </c>
      <c r="X25" s="14">
        <f t="shared" si="18"/>
        <v>1.9111570247933973E-2</v>
      </c>
      <c r="Y25">
        <v>187.4</v>
      </c>
      <c r="Z25" s="14">
        <f t="shared" si="19"/>
        <v>5.9044551798174676E-3</v>
      </c>
      <c r="AA25">
        <v>177.8</v>
      </c>
      <c r="AB25" s="14">
        <f t="shared" si="20"/>
        <v>8.5082246171298923E-3</v>
      </c>
      <c r="AC25">
        <v>175.95833333333334</v>
      </c>
      <c r="AD25" s="14">
        <f t="shared" si="21"/>
        <v>5.2847076747286883E-3</v>
      </c>
    </row>
    <row r="26" spans="1:30" x14ac:dyDescent="0.3">
      <c r="A26" t="s">
        <v>35</v>
      </c>
      <c r="B26">
        <v>2022</v>
      </c>
      <c r="C26" t="s">
        <v>50</v>
      </c>
      <c r="D26" s="17">
        <v>44835</v>
      </c>
      <c r="E26">
        <v>165.2</v>
      </c>
      <c r="F26" s="14">
        <f t="shared" si="9"/>
        <v>1.0397553516819502E-2</v>
      </c>
      <c r="G26">
        <v>210.9</v>
      </c>
      <c r="H26" s="14">
        <f t="shared" si="10"/>
        <v>8.1261950286807706E-3</v>
      </c>
      <c r="I26">
        <v>170.9</v>
      </c>
      <c r="J26" s="14">
        <f t="shared" si="11"/>
        <v>7.0713022981733478E-3</v>
      </c>
      <c r="K26">
        <v>170.9</v>
      </c>
      <c r="L26" s="14">
        <f t="shared" si="12"/>
        <v>7.0713022981733478E-3</v>
      </c>
      <c r="M26">
        <v>186.5</v>
      </c>
      <c r="N26" s="14">
        <f t="shared" si="13"/>
        <v>-1.1658717541070422E-2</v>
      </c>
      <c r="O26">
        <v>163.80000000000001</v>
      </c>
      <c r="P26" s="14">
        <f t="shared" si="14"/>
        <v>-1.1466505733252729E-2</v>
      </c>
      <c r="Q26">
        <v>199.7</v>
      </c>
      <c r="R26" s="14">
        <f t="shared" si="15"/>
        <v>4.118873826903012E-2</v>
      </c>
      <c r="S26">
        <v>169.8</v>
      </c>
      <c r="T26" s="14">
        <f t="shared" si="16"/>
        <v>4.1395623891189656E-3</v>
      </c>
      <c r="U26">
        <v>121.9</v>
      </c>
      <c r="V26" s="14">
        <f t="shared" si="17"/>
        <v>2.4671052631579883E-3</v>
      </c>
      <c r="W26">
        <v>199.9</v>
      </c>
      <c r="X26" s="14">
        <f t="shared" si="18"/>
        <v>1.3177901672579798E-2</v>
      </c>
      <c r="Y26">
        <v>188.3</v>
      </c>
      <c r="Z26" s="14">
        <f t="shared" si="19"/>
        <v>4.8025613660619302E-3</v>
      </c>
      <c r="AA26">
        <v>179.6</v>
      </c>
      <c r="AB26" s="14">
        <f t="shared" si="20"/>
        <v>1.0123734533183255E-2</v>
      </c>
      <c r="AC26">
        <v>177.28333333333333</v>
      </c>
      <c r="AD26" s="14">
        <f t="shared" si="21"/>
        <v>7.5301918067723714E-3</v>
      </c>
    </row>
    <row r="27" spans="1:30" x14ac:dyDescent="0.3">
      <c r="A27" t="s">
        <v>35</v>
      </c>
      <c r="B27">
        <v>2022</v>
      </c>
      <c r="C27" t="s">
        <v>53</v>
      </c>
      <c r="D27" s="17">
        <v>44866</v>
      </c>
      <c r="E27">
        <v>167.4</v>
      </c>
      <c r="F27" s="14">
        <f t="shared" si="9"/>
        <v>1.3317191283293082E-2</v>
      </c>
      <c r="G27">
        <v>209.4</v>
      </c>
      <c r="H27" s="14">
        <f t="shared" si="10"/>
        <v>-7.1123755334281651E-3</v>
      </c>
      <c r="I27">
        <v>181.4</v>
      </c>
      <c r="J27" s="14">
        <f t="shared" si="11"/>
        <v>6.1439438267992974E-2</v>
      </c>
      <c r="K27">
        <v>172.3</v>
      </c>
      <c r="L27" s="14">
        <f t="shared" si="12"/>
        <v>8.1919251023990971E-3</v>
      </c>
      <c r="M27">
        <v>188.9</v>
      </c>
      <c r="N27" s="14">
        <f t="shared" si="13"/>
        <v>1.286863270777483E-2</v>
      </c>
      <c r="O27">
        <v>160.69999999999999</v>
      </c>
      <c r="P27" s="14">
        <f t="shared" si="14"/>
        <v>-1.8925518925519063E-2</v>
      </c>
      <c r="Q27">
        <v>183.1</v>
      </c>
      <c r="R27" s="14">
        <f t="shared" si="15"/>
        <v>-8.3124687030545791E-2</v>
      </c>
      <c r="S27">
        <v>170.5</v>
      </c>
      <c r="T27" s="14">
        <f t="shared" si="16"/>
        <v>4.1224970553591792E-3</v>
      </c>
      <c r="U27">
        <v>122.1</v>
      </c>
      <c r="V27" s="14">
        <f t="shared" si="17"/>
        <v>1.640689089417462E-3</v>
      </c>
      <c r="W27">
        <v>202.8</v>
      </c>
      <c r="X27" s="14">
        <f t="shared" si="18"/>
        <v>1.4507253626813434E-2</v>
      </c>
      <c r="Y27">
        <v>189.5</v>
      </c>
      <c r="Z27" s="14">
        <f t="shared" si="19"/>
        <v>6.3728093467869812E-3</v>
      </c>
      <c r="AA27">
        <v>178.3</v>
      </c>
      <c r="AB27" s="14">
        <f t="shared" si="20"/>
        <v>-7.2383073496658295E-3</v>
      </c>
      <c r="AC27">
        <v>177.19999999999996</v>
      </c>
      <c r="AD27" s="14">
        <f t="shared" si="21"/>
        <v>-4.7005734699654729E-4</v>
      </c>
    </row>
    <row r="28" spans="1:30" x14ac:dyDescent="0.3">
      <c r="A28" t="s">
        <v>35</v>
      </c>
      <c r="B28">
        <v>2022</v>
      </c>
      <c r="C28" t="s">
        <v>55</v>
      </c>
      <c r="D28" s="17">
        <v>44896</v>
      </c>
      <c r="E28">
        <v>169.2</v>
      </c>
      <c r="F28" s="14">
        <f t="shared" si="9"/>
        <v>1.0752688172042909E-2</v>
      </c>
      <c r="G28">
        <v>209</v>
      </c>
      <c r="H28" s="14">
        <f t="shared" si="10"/>
        <v>-1.9102196752626823E-3</v>
      </c>
      <c r="I28">
        <v>190.2</v>
      </c>
      <c r="J28" s="14">
        <f t="shared" si="11"/>
        <v>4.8511576626240255E-2</v>
      </c>
      <c r="K28">
        <v>173.6</v>
      </c>
      <c r="L28" s="14">
        <f t="shared" si="12"/>
        <v>7.5449796865930518E-3</v>
      </c>
      <c r="M28">
        <v>188.5</v>
      </c>
      <c r="N28" s="14">
        <f t="shared" si="13"/>
        <v>-2.1175224986765785E-3</v>
      </c>
      <c r="O28">
        <v>158</v>
      </c>
      <c r="P28" s="14">
        <f t="shared" si="14"/>
        <v>-1.6801493466085806E-2</v>
      </c>
      <c r="Q28">
        <v>159.9</v>
      </c>
      <c r="R28" s="14">
        <f t="shared" si="15"/>
        <v>-0.12670671764063349</v>
      </c>
      <c r="S28">
        <v>170.8</v>
      </c>
      <c r="T28" s="14">
        <f t="shared" si="16"/>
        <v>1.7595307917889231E-3</v>
      </c>
      <c r="U28">
        <v>121.8</v>
      </c>
      <c r="V28" s="14">
        <f t="shared" si="17"/>
        <v>-2.457002457002434E-3</v>
      </c>
      <c r="W28">
        <v>205.2</v>
      </c>
      <c r="X28" s="14">
        <f t="shared" si="18"/>
        <v>1.1834319526627106E-2</v>
      </c>
      <c r="Y28">
        <v>190.3</v>
      </c>
      <c r="Z28" s="14">
        <f t="shared" si="19"/>
        <v>4.2216358839050729E-3</v>
      </c>
      <c r="AA28">
        <v>175.9</v>
      </c>
      <c r="AB28" s="14">
        <f t="shared" si="20"/>
        <v>-1.3460459899046581E-2</v>
      </c>
      <c r="AC28">
        <v>176.03333333333333</v>
      </c>
      <c r="AD28" s="14">
        <f t="shared" si="21"/>
        <v>-6.5838976674188997E-3</v>
      </c>
    </row>
    <row r="29" spans="1:30" x14ac:dyDescent="0.3">
      <c r="A29" t="s">
        <v>35</v>
      </c>
      <c r="B29">
        <v>2023</v>
      </c>
      <c r="C29" t="s">
        <v>31</v>
      </c>
      <c r="D29" s="17">
        <v>44927</v>
      </c>
      <c r="E29">
        <v>173.8</v>
      </c>
      <c r="F29" s="14">
        <f t="shared" si="9"/>
        <v>2.7186761229314557E-2</v>
      </c>
      <c r="G29">
        <v>210.7</v>
      </c>
      <c r="H29" s="14">
        <f t="shared" si="10"/>
        <v>8.1339712918659744E-3</v>
      </c>
      <c r="I29">
        <v>194.5</v>
      </c>
      <c r="J29" s="14">
        <f t="shared" si="11"/>
        <v>2.2607781282860208E-2</v>
      </c>
      <c r="K29">
        <v>174.6</v>
      </c>
      <c r="L29" s="14">
        <f t="shared" si="12"/>
        <v>5.7603686635944703E-3</v>
      </c>
      <c r="M29">
        <v>187.2</v>
      </c>
      <c r="N29" s="14">
        <f t="shared" si="13"/>
        <v>-6.8965517241379917E-3</v>
      </c>
      <c r="O29">
        <v>158.30000000000001</v>
      </c>
      <c r="P29" s="14">
        <f t="shared" si="14"/>
        <v>1.8987341772152618E-3</v>
      </c>
      <c r="Q29">
        <v>153.9</v>
      </c>
      <c r="R29" s="14">
        <f t="shared" si="15"/>
        <v>-3.7523452157598496E-2</v>
      </c>
      <c r="S29">
        <v>170.9</v>
      </c>
      <c r="T29" s="14">
        <f t="shared" si="16"/>
        <v>5.854800936767817E-4</v>
      </c>
      <c r="U29">
        <v>121.1</v>
      </c>
      <c r="V29" s="14">
        <f t="shared" si="17"/>
        <v>-5.7471264367816325E-3</v>
      </c>
      <c r="W29">
        <v>208.4</v>
      </c>
      <c r="X29" s="14">
        <f t="shared" si="18"/>
        <v>1.5594541910331468E-2</v>
      </c>
      <c r="Y29">
        <v>191.2</v>
      </c>
      <c r="Z29" s="14">
        <f t="shared" si="19"/>
        <v>4.7293746715710832E-3</v>
      </c>
      <c r="AA29">
        <v>176.7</v>
      </c>
      <c r="AB29" s="14">
        <f t="shared" si="20"/>
        <v>4.5480386583284984E-3</v>
      </c>
      <c r="AC29">
        <v>176.77500000000001</v>
      </c>
      <c r="AD29" s="14">
        <f t="shared" si="21"/>
        <v>4.2132171937133553E-3</v>
      </c>
    </row>
    <row r="30" spans="1:30" x14ac:dyDescent="0.3">
      <c r="A30" t="s">
        <v>35</v>
      </c>
      <c r="B30">
        <v>2023</v>
      </c>
      <c r="C30" t="s">
        <v>36</v>
      </c>
      <c r="D30" s="17">
        <v>44958</v>
      </c>
      <c r="E30">
        <v>174.4</v>
      </c>
      <c r="F30" s="14">
        <f t="shared" si="9"/>
        <v>3.4522439585730398E-3</v>
      </c>
      <c r="G30">
        <v>207.7</v>
      </c>
      <c r="H30" s="14">
        <f t="shared" si="10"/>
        <v>-1.423825344091125E-2</v>
      </c>
      <c r="I30">
        <v>175.2</v>
      </c>
      <c r="J30" s="14">
        <f t="shared" si="11"/>
        <v>-9.9228791773778982E-2</v>
      </c>
      <c r="K30">
        <v>177.3</v>
      </c>
      <c r="L30" s="14">
        <f t="shared" si="12"/>
        <v>1.5463917525773294E-2</v>
      </c>
      <c r="M30">
        <v>179.3</v>
      </c>
      <c r="N30" s="14">
        <f t="shared" si="13"/>
        <v>-4.2200854700854579E-2</v>
      </c>
      <c r="O30">
        <v>169.5</v>
      </c>
      <c r="P30" s="14">
        <f t="shared" si="14"/>
        <v>7.0751737207833149E-2</v>
      </c>
      <c r="Q30">
        <v>152.69999999999999</v>
      </c>
      <c r="R30" s="14">
        <f t="shared" si="15"/>
        <v>-7.7972709551658026E-3</v>
      </c>
      <c r="S30">
        <v>171</v>
      </c>
      <c r="T30" s="14">
        <f t="shared" si="16"/>
        <v>5.8513750731418557E-4</v>
      </c>
      <c r="U30">
        <v>120</v>
      </c>
      <c r="V30" s="14">
        <f t="shared" si="17"/>
        <v>-9.0834021469859156E-3</v>
      </c>
      <c r="W30">
        <v>209.7</v>
      </c>
      <c r="X30" s="14">
        <f t="shared" si="18"/>
        <v>6.2380038387715112E-3</v>
      </c>
      <c r="Y30">
        <v>193</v>
      </c>
      <c r="Z30" s="14">
        <f t="shared" si="19"/>
        <v>9.4142259414226534E-3</v>
      </c>
      <c r="AA30">
        <v>177</v>
      </c>
      <c r="AB30" s="14">
        <f t="shared" si="20"/>
        <v>1.6977928692700134E-3</v>
      </c>
      <c r="AC30">
        <v>175.56666666666669</v>
      </c>
      <c r="AD30" s="14">
        <f t="shared" si="21"/>
        <v>-6.8354311035684588E-3</v>
      </c>
    </row>
    <row r="31" spans="1:30" x14ac:dyDescent="0.3">
      <c r="A31" t="s">
        <v>35</v>
      </c>
      <c r="B31">
        <v>2023</v>
      </c>
      <c r="C31" t="s">
        <v>38</v>
      </c>
      <c r="D31" s="17">
        <v>44986</v>
      </c>
      <c r="E31">
        <v>174.4</v>
      </c>
      <c r="F31" s="14">
        <f t="shared" si="9"/>
        <v>0</v>
      </c>
      <c r="G31">
        <v>207.7</v>
      </c>
      <c r="H31" s="14">
        <f t="shared" si="10"/>
        <v>0</v>
      </c>
      <c r="I31">
        <v>175.2</v>
      </c>
      <c r="J31" s="14">
        <f t="shared" si="11"/>
        <v>0</v>
      </c>
      <c r="K31">
        <v>177.3</v>
      </c>
      <c r="L31" s="14">
        <f t="shared" si="12"/>
        <v>0</v>
      </c>
      <c r="M31">
        <v>179.2</v>
      </c>
      <c r="N31" s="14">
        <f t="shared" si="13"/>
        <v>-5.5772448410497898E-4</v>
      </c>
      <c r="O31">
        <v>169.5</v>
      </c>
      <c r="P31" s="14">
        <f t="shared" si="14"/>
        <v>0</v>
      </c>
      <c r="Q31">
        <v>152.80000000000001</v>
      </c>
      <c r="R31" s="14">
        <f t="shared" si="15"/>
        <v>6.5487884741337755E-4</v>
      </c>
      <c r="S31">
        <v>171.1</v>
      </c>
      <c r="T31" s="14">
        <f t="shared" si="16"/>
        <v>5.8479532163739363E-4</v>
      </c>
      <c r="U31">
        <v>120</v>
      </c>
      <c r="V31" s="14">
        <f t="shared" si="17"/>
        <v>0</v>
      </c>
      <c r="W31">
        <v>209.7</v>
      </c>
      <c r="X31" s="14">
        <f t="shared" si="18"/>
        <v>0</v>
      </c>
      <c r="Y31">
        <v>193</v>
      </c>
      <c r="Z31" s="14">
        <f t="shared" si="19"/>
        <v>0</v>
      </c>
      <c r="AA31">
        <v>177</v>
      </c>
      <c r="AB31" s="14">
        <f t="shared" si="20"/>
        <v>0</v>
      </c>
      <c r="AC31">
        <v>175.57499999999996</v>
      </c>
      <c r="AD31" s="14">
        <f t="shared" si="21"/>
        <v>4.7465350293918221E-5</v>
      </c>
    </row>
    <row r="32" spans="1:30" x14ac:dyDescent="0.3">
      <c r="A32" t="s">
        <v>35</v>
      </c>
      <c r="B32">
        <v>2023</v>
      </c>
      <c r="C32" t="s">
        <v>39</v>
      </c>
      <c r="D32" s="17">
        <v>45017</v>
      </c>
      <c r="E32">
        <v>173.8</v>
      </c>
      <c r="F32" s="14">
        <f t="shared" si="9"/>
        <v>-3.4403669724770315E-3</v>
      </c>
      <c r="G32">
        <v>209.3</v>
      </c>
      <c r="H32" s="14">
        <f t="shared" si="10"/>
        <v>7.7034183919115207E-3</v>
      </c>
      <c r="I32">
        <v>169.6</v>
      </c>
      <c r="J32" s="14">
        <f t="shared" si="11"/>
        <v>-3.1963470319634674E-2</v>
      </c>
      <c r="K32">
        <v>178.4</v>
      </c>
      <c r="L32" s="14">
        <f t="shared" si="12"/>
        <v>6.2041737168640398E-3</v>
      </c>
      <c r="M32">
        <v>174.9</v>
      </c>
      <c r="N32" s="14">
        <f t="shared" si="13"/>
        <v>-2.3995535714285622E-2</v>
      </c>
      <c r="O32">
        <v>176.3</v>
      </c>
      <c r="P32" s="14">
        <f t="shared" si="14"/>
        <v>4.0117994100295054E-2</v>
      </c>
      <c r="Q32">
        <v>155.4</v>
      </c>
      <c r="R32" s="14">
        <f t="shared" si="15"/>
        <v>1.7015706806282685E-2</v>
      </c>
      <c r="S32">
        <v>173.4</v>
      </c>
      <c r="T32" s="14">
        <f t="shared" si="16"/>
        <v>1.3442431326709593E-2</v>
      </c>
      <c r="U32">
        <v>121.3</v>
      </c>
      <c r="V32" s="14">
        <f t="shared" si="17"/>
        <v>1.0833333333333309E-2</v>
      </c>
      <c r="W32">
        <v>212.9</v>
      </c>
      <c r="X32" s="14">
        <f t="shared" si="18"/>
        <v>1.5259895088221351E-2</v>
      </c>
      <c r="Y32">
        <v>193.5</v>
      </c>
      <c r="Z32" s="14">
        <f t="shared" si="19"/>
        <v>2.5906735751295338E-3</v>
      </c>
      <c r="AA32">
        <v>177.9</v>
      </c>
      <c r="AB32" s="14">
        <f t="shared" si="20"/>
        <v>5.0847457627118961E-3</v>
      </c>
      <c r="AC32">
        <v>176.39166666666668</v>
      </c>
      <c r="AD32" s="14">
        <f t="shared" si="21"/>
        <v>4.6513835492907303E-3</v>
      </c>
    </row>
    <row r="33" spans="1:30" x14ac:dyDescent="0.3">
      <c r="A33" t="s">
        <v>35</v>
      </c>
      <c r="B33">
        <v>2023</v>
      </c>
      <c r="C33" t="s">
        <v>41</v>
      </c>
      <c r="D33" s="17">
        <v>45047</v>
      </c>
      <c r="E33">
        <v>173.7</v>
      </c>
      <c r="F33" s="14">
        <f t="shared" si="9"/>
        <v>-5.7537399309564284E-4</v>
      </c>
      <c r="G33">
        <v>214.3</v>
      </c>
      <c r="H33" s="14">
        <f t="shared" si="10"/>
        <v>2.3889154323936932E-2</v>
      </c>
      <c r="I33">
        <v>173.2</v>
      </c>
      <c r="J33" s="14">
        <f t="shared" si="11"/>
        <v>2.122641509433959E-2</v>
      </c>
      <c r="K33">
        <v>179.5</v>
      </c>
      <c r="L33" s="14">
        <f t="shared" si="12"/>
        <v>6.1659192825111791E-3</v>
      </c>
      <c r="M33">
        <v>170</v>
      </c>
      <c r="N33" s="14">
        <f t="shared" si="13"/>
        <v>-2.801600914808465E-2</v>
      </c>
      <c r="O33">
        <v>172.2</v>
      </c>
      <c r="P33" s="14">
        <f t="shared" si="14"/>
        <v>-2.32558139534885E-2</v>
      </c>
      <c r="Q33">
        <v>161</v>
      </c>
      <c r="R33" s="14">
        <f t="shared" si="15"/>
        <v>3.6036036036036001E-2</v>
      </c>
      <c r="S33">
        <v>175.6</v>
      </c>
      <c r="T33" s="14">
        <f t="shared" si="16"/>
        <v>1.2687427912341341E-2</v>
      </c>
      <c r="U33">
        <v>122.7</v>
      </c>
      <c r="V33" s="14">
        <f t="shared" si="17"/>
        <v>1.1541632316570533E-2</v>
      </c>
      <c r="W33">
        <v>218</v>
      </c>
      <c r="X33" s="14">
        <f t="shared" si="18"/>
        <v>2.3954908407703118E-2</v>
      </c>
      <c r="Y33">
        <v>194.2</v>
      </c>
      <c r="Z33" s="14">
        <f t="shared" si="19"/>
        <v>3.6175710594314658E-3</v>
      </c>
      <c r="AA33">
        <v>179.1</v>
      </c>
      <c r="AB33" s="14">
        <f t="shared" si="20"/>
        <v>6.7453625632377095E-3</v>
      </c>
      <c r="AC33">
        <v>177.79166666666666</v>
      </c>
      <c r="AD33" s="14">
        <f t="shared" si="21"/>
        <v>7.9368828837339846E-3</v>
      </c>
    </row>
    <row r="34" spans="1:30" x14ac:dyDescent="0.3">
      <c r="A34" t="s">
        <v>33</v>
      </c>
      <c r="B34">
        <v>2022</v>
      </c>
      <c r="C34" t="s">
        <v>41</v>
      </c>
      <c r="D34" s="17">
        <v>44682</v>
      </c>
      <c r="E34">
        <v>156.69999999999999</v>
      </c>
      <c r="G34">
        <v>221.2</v>
      </c>
      <c r="I34">
        <v>164.1</v>
      </c>
      <c r="K34">
        <v>165.4</v>
      </c>
      <c r="M34">
        <v>189.5</v>
      </c>
      <c r="O34">
        <v>174.5</v>
      </c>
      <c r="Q34">
        <v>203.2</v>
      </c>
      <c r="S34">
        <v>164.1</v>
      </c>
      <c r="U34">
        <v>121.2</v>
      </c>
      <c r="W34">
        <v>181.4</v>
      </c>
      <c r="Y34">
        <v>184.9</v>
      </c>
      <c r="AA34">
        <v>177.5</v>
      </c>
      <c r="AC34">
        <v>175.30833333333337</v>
      </c>
    </row>
    <row r="35" spans="1:30" x14ac:dyDescent="0.3">
      <c r="A35" t="s">
        <v>33</v>
      </c>
      <c r="B35">
        <v>2022</v>
      </c>
      <c r="C35" t="s">
        <v>42</v>
      </c>
      <c r="D35" s="17">
        <v>44713</v>
      </c>
      <c r="E35">
        <v>157.5</v>
      </c>
      <c r="F35" s="14">
        <f>(E35-E34)/E34</f>
        <v>5.105296745373398E-3</v>
      </c>
      <c r="G35">
        <v>223.4</v>
      </c>
      <c r="H35" s="14">
        <f>(G35-G34)/G34</f>
        <v>9.9457504520796443E-3</v>
      </c>
      <c r="I35">
        <v>172.8</v>
      </c>
      <c r="J35" s="14">
        <f>(I35-I34)/I34</f>
        <v>5.3016453382084203E-2</v>
      </c>
      <c r="K35">
        <v>166.4</v>
      </c>
      <c r="L35" s="14">
        <f>(K35-K34)/K34</f>
        <v>6.0459492140266021E-3</v>
      </c>
      <c r="M35">
        <v>188.6</v>
      </c>
      <c r="N35" s="14">
        <f>(M35-M34)/M34</f>
        <v>-4.74934036939317E-3</v>
      </c>
      <c r="O35">
        <v>174.1</v>
      </c>
      <c r="P35" s="14">
        <f>(O35-O34)/O34</f>
        <v>-2.2922636103152186E-3</v>
      </c>
      <c r="Q35">
        <v>211.5</v>
      </c>
      <c r="R35" s="14">
        <f>(Q35-Q34)/Q34</f>
        <v>4.0846456692913445E-2</v>
      </c>
      <c r="S35">
        <v>163.6</v>
      </c>
      <c r="T35" s="14">
        <f>(S35-S34)/S34</f>
        <v>-3.0469226081657527E-3</v>
      </c>
      <c r="U35">
        <v>121.4</v>
      </c>
      <c r="V35" s="14">
        <f>(U35-U34)/U34</f>
        <v>1.6501650165016736E-3</v>
      </c>
      <c r="W35">
        <v>183.5</v>
      </c>
      <c r="X35" s="14">
        <f>(W35-W34)/W34</f>
        <v>1.1576626240352779E-2</v>
      </c>
      <c r="Y35">
        <v>186.3</v>
      </c>
      <c r="Z35" s="14">
        <f>(Y35-Y34)/Y34</f>
        <v>7.5716603569497328E-3</v>
      </c>
      <c r="AA35">
        <v>179.3</v>
      </c>
      <c r="AB35" s="14">
        <f>(AA35-AA34)/AA34</f>
        <v>1.0140845070422599E-2</v>
      </c>
      <c r="AC35">
        <v>177.36666666666667</v>
      </c>
      <c r="AD35" s="14">
        <f>(AC35-AC34)/AC34</f>
        <v>1.1741217854256643E-2</v>
      </c>
    </row>
    <row r="36" spans="1:30" x14ac:dyDescent="0.3">
      <c r="A36" t="s">
        <v>33</v>
      </c>
      <c r="B36">
        <v>2022</v>
      </c>
      <c r="C36" t="s">
        <v>44</v>
      </c>
      <c r="D36" s="17">
        <v>44743</v>
      </c>
      <c r="E36">
        <v>159.30000000000001</v>
      </c>
      <c r="F36" s="14">
        <f t="shared" ref="F36:F46" si="22">(E36-E35)/E35</f>
        <v>1.1428571428571501E-2</v>
      </c>
      <c r="G36">
        <v>217.1</v>
      </c>
      <c r="H36" s="14">
        <f t="shared" ref="H36:H46" si="23">(G36-G35)/G35</f>
        <v>-2.8200537153088682E-2</v>
      </c>
      <c r="I36">
        <v>176.6</v>
      </c>
      <c r="J36" s="14">
        <f t="shared" ref="J36:J46" si="24">(I36-I35)/I35</f>
        <v>2.1990740740740641E-2</v>
      </c>
      <c r="K36">
        <v>167.1</v>
      </c>
      <c r="L36" s="14">
        <f t="shared" ref="L36:L46" si="25">(K36-K35)/K35</f>
        <v>4.2067307692307005E-3</v>
      </c>
      <c r="M36">
        <v>184.8</v>
      </c>
      <c r="N36" s="14">
        <f t="shared" ref="N36:N46" si="26">(M36-M35)/M35</f>
        <v>-2.014846235418867E-2</v>
      </c>
      <c r="O36">
        <v>179.5</v>
      </c>
      <c r="P36" s="14">
        <f t="shared" ref="P36:P46" si="27">(O36-O35)/O35</f>
        <v>3.1016657093624389E-2</v>
      </c>
      <c r="Q36">
        <v>208.5</v>
      </c>
      <c r="R36" s="14">
        <f t="shared" ref="R36:R46" si="28">(Q36-Q35)/Q35</f>
        <v>-1.4184397163120567E-2</v>
      </c>
      <c r="S36">
        <v>164</v>
      </c>
      <c r="T36" s="14">
        <f t="shared" ref="T36:T46" si="29">(S36-S35)/S35</f>
        <v>2.4449877750611594E-3</v>
      </c>
      <c r="U36">
        <v>121.5</v>
      </c>
      <c r="V36" s="14">
        <f t="shared" ref="V36:V46" si="30">(U36-U35)/U35</f>
        <v>8.2372322899501083E-4</v>
      </c>
      <c r="W36">
        <v>186.3</v>
      </c>
      <c r="X36" s="14">
        <f t="shared" ref="X36:X46" si="31">(W36-W35)/W35</f>
        <v>1.5258855585831125E-2</v>
      </c>
      <c r="Y36">
        <v>187.7</v>
      </c>
      <c r="Z36" s="14">
        <f t="shared" ref="Z36:Z46" si="32">(Y36-Y35)/Y35</f>
        <v>7.514761137949421E-3</v>
      </c>
      <c r="AA36">
        <v>179.4</v>
      </c>
      <c r="AB36" s="14">
        <f t="shared" ref="AB36:AB46" si="33">(AA36-AA35)/AA35</f>
        <v>5.5772448410482047E-4</v>
      </c>
      <c r="AC36">
        <v>177.65</v>
      </c>
      <c r="AD36" s="14">
        <f t="shared" ref="AD36:AD46" si="34">(AC36-AC35)/AC35</f>
        <v>1.5974440894568583E-3</v>
      </c>
    </row>
    <row r="37" spans="1:30" x14ac:dyDescent="0.3">
      <c r="A37" t="s">
        <v>33</v>
      </c>
      <c r="B37">
        <v>2022</v>
      </c>
      <c r="C37" t="s">
        <v>46</v>
      </c>
      <c r="D37" s="17">
        <v>44774</v>
      </c>
      <c r="E37">
        <v>162.1</v>
      </c>
      <c r="F37" s="14">
        <f t="shared" si="22"/>
        <v>1.7576898932831028E-2</v>
      </c>
      <c r="G37">
        <v>210.9</v>
      </c>
      <c r="H37" s="14">
        <f t="shared" si="23"/>
        <v>-2.8558268079226113E-2</v>
      </c>
      <c r="I37">
        <v>170.6</v>
      </c>
      <c r="J37" s="14">
        <f t="shared" si="24"/>
        <v>-3.3975084937712348E-2</v>
      </c>
      <c r="K37">
        <v>168.4</v>
      </c>
      <c r="L37" s="14">
        <f t="shared" si="25"/>
        <v>7.7797725912627852E-3</v>
      </c>
      <c r="M37">
        <v>182.5</v>
      </c>
      <c r="N37" s="14">
        <f t="shared" si="26"/>
        <v>-1.2445887445887507E-2</v>
      </c>
      <c r="O37">
        <v>177.1</v>
      </c>
      <c r="P37" s="14">
        <f t="shared" si="27"/>
        <v>-1.3370473537604488E-2</v>
      </c>
      <c r="Q37">
        <v>213.1</v>
      </c>
      <c r="R37" s="14">
        <f t="shared" si="28"/>
        <v>2.206235011990405E-2</v>
      </c>
      <c r="S37">
        <v>167.3</v>
      </c>
      <c r="T37" s="14">
        <f t="shared" si="29"/>
        <v>2.0121951219512265E-2</v>
      </c>
      <c r="U37">
        <v>122.2</v>
      </c>
      <c r="V37" s="14">
        <f t="shared" si="30"/>
        <v>5.7613168724280073E-3</v>
      </c>
      <c r="W37">
        <v>189.7</v>
      </c>
      <c r="X37" s="14">
        <f t="shared" si="31"/>
        <v>1.8250134192163054E-2</v>
      </c>
      <c r="Y37">
        <v>188.9</v>
      </c>
      <c r="Z37" s="14">
        <f t="shared" si="32"/>
        <v>6.3931806073522493E-3</v>
      </c>
      <c r="AA37">
        <v>180.4</v>
      </c>
      <c r="AB37" s="14">
        <f t="shared" si="33"/>
        <v>5.5741360089186171E-3</v>
      </c>
      <c r="AC37">
        <v>177.76666666666665</v>
      </c>
      <c r="AD37" s="14">
        <f t="shared" si="34"/>
        <v>6.5672201895100374E-4</v>
      </c>
    </row>
    <row r="38" spans="1:30" x14ac:dyDescent="0.3">
      <c r="A38" t="s">
        <v>33</v>
      </c>
      <c r="B38">
        <v>2022</v>
      </c>
      <c r="C38" t="s">
        <v>48</v>
      </c>
      <c r="D38" s="17">
        <v>44805</v>
      </c>
      <c r="E38">
        <v>164.9</v>
      </c>
      <c r="F38" s="14">
        <f t="shared" si="22"/>
        <v>1.7273288093769348E-2</v>
      </c>
      <c r="G38">
        <v>213.7</v>
      </c>
      <c r="H38" s="14">
        <f t="shared" si="23"/>
        <v>1.3276434329065827E-2</v>
      </c>
      <c r="I38">
        <v>170.9</v>
      </c>
      <c r="J38" s="14">
        <f t="shared" si="24"/>
        <v>1.7584994138335954E-3</v>
      </c>
      <c r="K38">
        <v>170.1</v>
      </c>
      <c r="L38" s="14">
        <f t="shared" si="25"/>
        <v>1.0095011876484494E-2</v>
      </c>
      <c r="M38">
        <v>179.3</v>
      </c>
      <c r="N38" s="14">
        <f t="shared" si="26"/>
        <v>-1.7534246575342402E-2</v>
      </c>
      <c r="O38">
        <v>167.5</v>
      </c>
      <c r="P38" s="14">
        <f t="shared" si="27"/>
        <v>-5.4206662902315045E-2</v>
      </c>
      <c r="Q38">
        <v>220.8</v>
      </c>
      <c r="R38" s="14">
        <f t="shared" si="28"/>
        <v>3.6133270764899188E-2</v>
      </c>
      <c r="S38">
        <v>169.2</v>
      </c>
      <c r="T38" s="14">
        <f t="shared" si="29"/>
        <v>1.1356843992827119E-2</v>
      </c>
      <c r="U38">
        <v>123.1</v>
      </c>
      <c r="V38" s="14">
        <f t="shared" si="30"/>
        <v>7.3649754500817628E-3</v>
      </c>
      <c r="W38">
        <v>193.6</v>
      </c>
      <c r="X38" s="14">
        <f t="shared" si="31"/>
        <v>2.0558777016341623E-2</v>
      </c>
      <c r="Y38">
        <v>190.4</v>
      </c>
      <c r="Z38" s="14">
        <f t="shared" si="32"/>
        <v>7.9407093700370572E-3</v>
      </c>
      <c r="AA38">
        <v>181.8</v>
      </c>
      <c r="AB38" s="14">
        <f t="shared" si="33"/>
        <v>7.7605321507760849E-3</v>
      </c>
      <c r="AC38">
        <v>178.77500000000001</v>
      </c>
      <c r="AD38" s="14">
        <f t="shared" si="34"/>
        <v>5.6722295143447647E-3</v>
      </c>
    </row>
    <row r="39" spans="1:30" x14ac:dyDescent="0.3">
      <c r="A39" t="s">
        <v>33</v>
      </c>
      <c r="B39">
        <v>2022</v>
      </c>
      <c r="C39" t="s">
        <v>50</v>
      </c>
      <c r="D39" s="17">
        <v>44835</v>
      </c>
      <c r="E39">
        <v>166.4</v>
      </c>
      <c r="F39" s="14">
        <f t="shared" si="22"/>
        <v>9.0964220739842318E-3</v>
      </c>
      <c r="G39">
        <v>214.9</v>
      </c>
      <c r="H39" s="14">
        <f t="shared" si="23"/>
        <v>5.6153486195602113E-3</v>
      </c>
      <c r="I39">
        <v>171.9</v>
      </c>
      <c r="J39" s="14">
        <f t="shared" si="24"/>
        <v>5.8513750731421883E-3</v>
      </c>
      <c r="K39">
        <v>171</v>
      </c>
      <c r="L39" s="14">
        <f t="shared" si="25"/>
        <v>5.2910052910053245E-3</v>
      </c>
      <c r="M39">
        <v>177.7</v>
      </c>
      <c r="N39" s="14">
        <f t="shared" si="26"/>
        <v>-8.9235917456777607E-3</v>
      </c>
      <c r="O39">
        <v>165.7</v>
      </c>
      <c r="P39" s="14">
        <f t="shared" si="27"/>
        <v>-1.0746268656716487E-2</v>
      </c>
      <c r="Q39">
        <v>228.6</v>
      </c>
      <c r="R39" s="14">
        <f t="shared" si="28"/>
        <v>3.532608695652166E-2</v>
      </c>
      <c r="S39">
        <v>169.9</v>
      </c>
      <c r="T39" s="14">
        <f t="shared" si="29"/>
        <v>4.1371158392436002E-3</v>
      </c>
      <c r="U39">
        <v>123.4</v>
      </c>
      <c r="V39" s="14">
        <f t="shared" si="30"/>
        <v>2.4370430544273874E-3</v>
      </c>
      <c r="W39">
        <v>196.4</v>
      </c>
      <c r="X39" s="14">
        <f t="shared" si="31"/>
        <v>1.4462809917355431E-2</v>
      </c>
      <c r="Y39">
        <v>191.5</v>
      </c>
      <c r="Z39" s="14">
        <f t="shared" si="32"/>
        <v>5.7773109243697178E-3</v>
      </c>
      <c r="AA39">
        <v>183.3</v>
      </c>
      <c r="AB39" s="14">
        <f t="shared" si="33"/>
        <v>8.2508250825082501E-3</v>
      </c>
      <c r="AC39">
        <v>180.05833333333337</v>
      </c>
      <c r="AD39" s="14">
        <f t="shared" si="34"/>
        <v>7.1784831958235764E-3</v>
      </c>
    </row>
    <row r="40" spans="1:30" x14ac:dyDescent="0.3">
      <c r="A40" t="s">
        <v>33</v>
      </c>
      <c r="B40">
        <v>2022</v>
      </c>
      <c r="C40" t="s">
        <v>53</v>
      </c>
      <c r="D40" s="17">
        <v>44866</v>
      </c>
      <c r="E40">
        <v>168.4</v>
      </c>
      <c r="F40" s="14">
        <f t="shared" si="22"/>
        <v>1.2019230769230768E-2</v>
      </c>
      <c r="G40">
        <v>213.4</v>
      </c>
      <c r="H40" s="14">
        <f t="shared" si="23"/>
        <v>-6.9799906933457421E-3</v>
      </c>
      <c r="I40">
        <v>183.2</v>
      </c>
      <c r="J40" s="14">
        <f t="shared" si="24"/>
        <v>6.5735892961023751E-2</v>
      </c>
      <c r="K40">
        <v>172.3</v>
      </c>
      <c r="L40" s="14">
        <f t="shared" si="25"/>
        <v>7.6023391812866164E-3</v>
      </c>
      <c r="M40">
        <v>180</v>
      </c>
      <c r="N40" s="14">
        <f t="shared" si="26"/>
        <v>1.2943162633652288E-2</v>
      </c>
      <c r="O40">
        <v>162.6</v>
      </c>
      <c r="P40" s="14">
        <f t="shared" si="27"/>
        <v>-1.8708509354254645E-2</v>
      </c>
      <c r="Q40">
        <v>205.5</v>
      </c>
      <c r="R40" s="14">
        <f t="shared" si="28"/>
        <v>-0.10104986876640418</v>
      </c>
      <c r="S40">
        <v>171</v>
      </c>
      <c r="T40" s="14">
        <f t="shared" si="29"/>
        <v>6.4743967039434629E-3</v>
      </c>
      <c r="U40">
        <v>123.4</v>
      </c>
      <c r="V40" s="14">
        <f t="shared" si="30"/>
        <v>0</v>
      </c>
      <c r="W40">
        <v>198.8</v>
      </c>
      <c r="X40" s="14">
        <f t="shared" si="31"/>
        <v>1.2219959266802473E-2</v>
      </c>
      <c r="Y40">
        <v>192.4</v>
      </c>
      <c r="Z40" s="14">
        <f t="shared" si="32"/>
        <v>4.6997389033942858E-3</v>
      </c>
      <c r="AA40">
        <v>181.3</v>
      </c>
      <c r="AB40" s="14">
        <f t="shared" si="33"/>
        <v>-1.0911074740861974E-2</v>
      </c>
      <c r="AC40">
        <v>179.35833333333335</v>
      </c>
      <c r="AD40" s="14">
        <f t="shared" si="34"/>
        <v>-3.8876290091175098E-3</v>
      </c>
    </row>
    <row r="41" spans="1:30" x14ac:dyDescent="0.3">
      <c r="A41" t="s">
        <v>33</v>
      </c>
      <c r="B41">
        <v>2022</v>
      </c>
      <c r="C41" t="s">
        <v>55</v>
      </c>
      <c r="D41" s="17">
        <v>44896</v>
      </c>
      <c r="E41">
        <v>170.2</v>
      </c>
      <c r="F41" s="14">
        <f t="shared" si="22"/>
        <v>1.0688836104512963E-2</v>
      </c>
      <c r="G41">
        <v>212.9</v>
      </c>
      <c r="H41" s="14">
        <f t="shared" si="23"/>
        <v>-2.3430178069353325E-3</v>
      </c>
      <c r="I41">
        <v>191.9</v>
      </c>
      <c r="J41" s="14">
        <f t="shared" si="24"/>
        <v>4.7489082969432411E-2</v>
      </c>
      <c r="K41">
        <v>173.9</v>
      </c>
      <c r="L41" s="14">
        <f t="shared" si="25"/>
        <v>9.286128845037692E-3</v>
      </c>
      <c r="M41">
        <v>179.1</v>
      </c>
      <c r="N41" s="14">
        <f t="shared" si="26"/>
        <v>-5.0000000000000313E-3</v>
      </c>
      <c r="O41">
        <v>159.5</v>
      </c>
      <c r="P41" s="14">
        <f t="shared" si="27"/>
        <v>-1.9065190651906486E-2</v>
      </c>
      <c r="Q41">
        <v>178.7</v>
      </c>
      <c r="R41" s="14">
        <f t="shared" si="28"/>
        <v>-0.1304136253041363</v>
      </c>
      <c r="S41">
        <v>171.3</v>
      </c>
      <c r="T41" s="14">
        <f t="shared" si="29"/>
        <v>1.7543859649123471E-3</v>
      </c>
      <c r="U41">
        <v>123.1</v>
      </c>
      <c r="V41" s="14">
        <f t="shared" si="30"/>
        <v>-2.4311183144247275E-3</v>
      </c>
      <c r="W41">
        <v>200.5</v>
      </c>
      <c r="X41" s="14">
        <f t="shared" si="31"/>
        <v>8.5513078470824365E-3</v>
      </c>
      <c r="Y41">
        <v>193.3</v>
      </c>
      <c r="Z41" s="14">
        <f t="shared" si="32"/>
        <v>4.6777546777547075E-3</v>
      </c>
      <c r="AA41">
        <v>178.6</v>
      </c>
      <c r="AB41" s="14">
        <f t="shared" si="33"/>
        <v>-1.4892443463872128E-2</v>
      </c>
      <c r="AC41">
        <v>177.75</v>
      </c>
      <c r="AD41" s="14">
        <f t="shared" si="34"/>
        <v>-8.9671514194118764E-3</v>
      </c>
    </row>
    <row r="42" spans="1:30" x14ac:dyDescent="0.3">
      <c r="A42" t="s">
        <v>33</v>
      </c>
      <c r="B42">
        <v>2023</v>
      </c>
      <c r="C42" t="s">
        <v>31</v>
      </c>
      <c r="D42" s="17">
        <v>44927</v>
      </c>
      <c r="E42">
        <v>173.3</v>
      </c>
      <c r="F42" s="14">
        <f t="shared" si="22"/>
        <v>1.821386603995313E-2</v>
      </c>
      <c r="G42">
        <v>215.2</v>
      </c>
      <c r="H42" s="14">
        <f t="shared" si="23"/>
        <v>1.0803193987787613E-2</v>
      </c>
      <c r="I42">
        <v>197</v>
      </c>
      <c r="J42" s="14">
        <f t="shared" si="24"/>
        <v>2.6576341844710756E-2</v>
      </c>
      <c r="K42">
        <v>175.2</v>
      </c>
      <c r="L42" s="14">
        <f t="shared" si="25"/>
        <v>7.4755606670499301E-3</v>
      </c>
      <c r="M42">
        <v>178</v>
      </c>
      <c r="N42" s="14">
        <f t="shared" si="26"/>
        <v>-6.1418202121719398E-3</v>
      </c>
      <c r="O42">
        <v>160.5</v>
      </c>
      <c r="P42" s="14">
        <f t="shared" si="27"/>
        <v>6.269592476489028E-3</v>
      </c>
      <c r="Q42">
        <v>175.3</v>
      </c>
      <c r="R42" s="14">
        <f t="shared" si="28"/>
        <v>-1.9026301063234344E-2</v>
      </c>
      <c r="S42">
        <v>171.2</v>
      </c>
      <c r="T42" s="14">
        <f t="shared" si="29"/>
        <v>-5.837711617047445E-4</v>
      </c>
      <c r="U42">
        <v>122.7</v>
      </c>
      <c r="V42" s="14">
        <f t="shared" si="30"/>
        <v>-3.2493907392363241E-3</v>
      </c>
      <c r="W42">
        <v>204.3</v>
      </c>
      <c r="X42" s="14">
        <f t="shared" si="31"/>
        <v>1.8952618453865394E-2</v>
      </c>
      <c r="Y42">
        <v>194.3</v>
      </c>
      <c r="Z42" s="14">
        <f t="shared" si="32"/>
        <v>5.1733057423693739E-3</v>
      </c>
      <c r="AA42">
        <v>179.5</v>
      </c>
      <c r="AB42" s="14">
        <f t="shared" si="33"/>
        <v>5.0391937290033915E-3</v>
      </c>
      <c r="AC42">
        <v>178.875</v>
      </c>
      <c r="AD42" s="14">
        <f t="shared" si="34"/>
        <v>6.3291139240506328E-3</v>
      </c>
    </row>
    <row r="43" spans="1:30" x14ac:dyDescent="0.3">
      <c r="A43" t="s">
        <v>33</v>
      </c>
      <c r="B43">
        <v>2023</v>
      </c>
      <c r="C43" t="s">
        <v>36</v>
      </c>
      <c r="D43" s="17">
        <v>44958</v>
      </c>
      <c r="E43">
        <v>174.7</v>
      </c>
      <c r="F43" s="14">
        <f t="shared" si="22"/>
        <v>8.078476630121045E-3</v>
      </c>
      <c r="G43">
        <v>212.2</v>
      </c>
      <c r="H43" s="14">
        <f t="shared" si="23"/>
        <v>-1.3940520446096656E-2</v>
      </c>
      <c r="I43">
        <v>177.2</v>
      </c>
      <c r="J43" s="14">
        <f t="shared" si="24"/>
        <v>-0.10050761421319802</v>
      </c>
      <c r="K43">
        <v>177.9</v>
      </c>
      <c r="L43" s="14">
        <f t="shared" si="25"/>
        <v>1.5410958904109687E-2</v>
      </c>
      <c r="M43">
        <v>172.2</v>
      </c>
      <c r="N43" s="14">
        <f t="shared" si="26"/>
        <v>-3.2584269662921411E-2</v>
      </c>
      <c r="O43">
        <v>172.1</v>
      </c>
      <c r="P43" s="14">
        <f t="shared" si="27"/>
        <v>7.2274143302180655E-2</v>
      </c>
      <c r="Q43">
        <v>175.8</v>
      </c>
      <c r="R43" s="14">
        <f t="shared" si="28"/>
        <v>2.8522532800912721E-3</v>
      </c>
      <c r="S43">
        <v>172.2</v>
      </c>
      <c r="T43" s="14">
        <f t="shared" si="29"/>
        <v>5.8411214953271035E-3</v>
      </c>
      <c r="U43">
        <v>121.9</v>
      </c>
      <c r="V43" s="14">
        <f t="shared" si="30"/>
        <v>-6.5199674001629754E-3</v>
      </c>
      <c r="W43">
        <v>204.8</v>
      </c>
      <c r="X43" s="14">
        <f t="shared" si="31"/>
        <v>2.4473813020068525E-3</v>
      </c>
      <c r="Y43">
        <v>196.6</v>
      </c>
      <c r="Z43" s="14">
        <f t="shared" si="32"/>
        <v>1.1837364899639644E-2</v>
      </c>
      <c r="AA43">
        <v>180.7</v>
      </c>
      <c r="AB43" s="14">
        <f t="shared" si="33"/>
        <v>6.6852367688021649E-3</v>
      </c>
      <c r="AC43">
        <v>178.19166666666663</v>
      </c>
      <c r="AD43" s="14">
        <f t="shared" si="34"/>
        <v>-3.8201723736316731E-3</v>
      </c>
    </row>
    <row r="44" spans="1:30" x14ac:dyDescent="0.3">
      <c r="A44" t="s">
        <v>33</v>
      </c>
      <c r="B44">
        <v>2023</v>
      </c>
      <c r="C44" t="s">
        <v>38</v>
      </c>
      <c r="D44" s="17">
        <v>44986</v>
      </c>
      <c r="E44">
        <v>174.7</v>
      </c>
      <c r="F44" s="14">
        <f t="shared" si="22"/>
        <v>0</v>
      </c>
      <c r="G44">
        <v>212.2</v>
      </c>
      <c r="H44" s="14">
        <f t="shared" si="23"/>
        <v>0</v>
      </c>
      <c r="I44">
        <v>177.2</v>
      </c>
      <c r="J44" s="14">
        <f t="shared" si="24"/>
        <v>0</v>
      </c>
      <c r="K44">
        <v>177.9</v>
      </c>
      <c r="L44" s="14">
        <f t="shared" si="25"/>
        <v>0</v>
      </c>
      <c r="M44">
        <v>172.2</v>
      </c>
      <c r="N44" s="14">
        <f t="shared" si="26"/>
        <v>0</v>
      </c>
      <c r="O44">
        <v>172.1</v>
      </c>
      <c r="P44" s="14">
        <f t="shared" si="27"/>
        <v>0</v>
      </c>
      <c r="Q44">
        <v>175.9</v>
      </c>
      <c r="R44" s="14">
        <f t="shared" si="28"/>
        <v>5.6882821387937608E-4</v>
      </c>
      <c r="S44">
        <v>172.2</v>
      </c>
      <c r="T44" s="14">
        <f t="shared" si="29"/>
        <v>0</v>
      </c>
      <c r="U44">
        <v>121.9</v>
      </c>
      <c r="V44" s="14">
        <f t="shared" si="30"/>
        <v>0</v>
      </c>
      <c r="W44">
        <v>204.8</v>
      </c>
      <c r="X44" s="14">
        <f t="shared" si="31"/>
        <v>0</v>
      </c>
      <c r="Y44">
        <v>196.6</v>
      </c>
      <c r="Z44" s="14">
        <f t="shared" si="32"/>
        <v>0</v>
      </c>
      <c r="AA44">
        <v>180.8</v>
      </c>
      <c r="AB44" s="14">
        <f t="shared" si="33"/>
        <v>5.5340343110139867E-4</v>
      </c>
      <c r="AC44">
        <v>178.20833333333334</v>
      </c>
      <c r="AD44" s="14">
        <f t="shared" si="34"/>
        <v>9.3532245241780969E-5</v>
      </c>
    </row>
    <row r="45" spans="1:30" x14ac:dyDescent="0.3">
      <c r="A45" t="s">
        <v>33</v>
      </c>
      <c r="B45">
        <v>2023</v>
      </c>
      <c r="C45" t="s">
        <v>39</v>
      </c>
      <c r="D45" s="17">
        <v>45017</v>
      </c>
      <c r="E45">
        <v>174.8</v>
      </c>
      <c r="F45" s="14">
        <f t="shared" si="22"/>
        <v>5.7240984544947189E-4</v>
      </c>
      <c r="G45">
        <v>213.7</v>
      </c>
      <c r="H45" s="14">
        <f t="shared" si="23"/>
        <v>7.068803016022621E-3</v>
      </c>
      <c r="I45">
        <v>172.4</v>
      </c>
      <c r="J45" s="14">
        <f t="shared" si="24"/>
        <v>-2.7088036117381396E-2</v>
      </c>
      <c r="K45">
        <v>178.8</v>
      </c>
      <c r="L45" s="14">
        <f t="shared" si="25"/>
        <v>5.0590219224283623E-3</v>
      </c>
      <c r="M45">
        <v>168.7</v>
      </c>
      <c r="N45" s="14">
        <f t="shared" si="26"/>
        <v>-2.0325203252032523E-2</v>
      </c>
      <c r="O45">
        <v>179.2</v>
      </c>
      <c r="P45" s="14">
        <f t="shared" si="27"/>
        <v>4.1255084253341047E-2</v>
      </c>
      <c r="Q45">
        <v>179.9</v>
      </c>
      <c r="R45" s="14">
        <f t="shared" si="28"/>
        <v>2.2740193291642979E-2</v>
      </c>
      <c r="S45">
        <v>174.7</v>
      </c>
      <c r="T45" s="14">
        <f t="shared" si="29"/>
        <v>1.4518002322880372E-2</v>
      </c>
      <c r="U45">
        <v>123.1</v>
      </c>
      <c r="V45" s="14">
        <f t="shared" si="30"/>
        <v>9.8441345365052387E-3</v>
      </c>
      <c r="W45">
        <v>207.8</v>
      </c>
      <c r="X45" s="14">
        <f t="shared" si="31"/>
        <v>1.46484375E-2</v>
      </c>
      <c r="Y45">
        <v>197</v>
      </c>
      <c r="Z45" s="14">
        <f t="shared" si="32"/>
        <v>2.034587995930853E-3</v>
      </c>
      <c r="AA45">
        <v>182.1</v>
      </c>
      <c r="AB45" s="14">
        <f t="shared" si="33"/>
        <v>7.1902654867255691E-3</v>
      </c>
      <c r="AC45">
        <v>179.35000000000002</v>
      </c>
      <c r="AD45" s="14">
        <f t="shared" si="34"/>
        <v>6.4063595978490337E-3</v>
      </c>
    </row>
    <row r="46" spans="1:30" x14ac:dyDescent="0.3">
      <c r="A46" t="s">
        <v>33</v>
      </c>
      <c r="B46">
        <v>2023</v>
      </c>
      <c r="C46" t="s">
        <v>41</v>
      </c>
      <c r="D46" s="17">
        <v>45047</v>
      </c>
      <c r="E46">
        <v>174.7</v>
      </c>
      <c r="F46" s="14">
        <f t="shared" si="22"/>
        <v>-5.7208237986283023E-4</v>
      </c>
      <c r="G46">
        <v>219.4</v>
      </c>
      <c r="H46" s="14">
        <f t="shared" si="23"/>
        <v>2.6672905942910705E-2</v>
      </c>
      <c r="I46">
        <v>176.7</v>
      </c>
      <c r="J46" s="14">
        <f t="shared" si="24"/>
        <v>2.4941995359628672E-2</v>
      </c>
      <c r="K46">
        <v>179.4</v>
      </c>
      <c r="L46" s="14">
        <f t="shared" si="25"/>
        <v>3.355704697986545E-3</v>
      </c>
      <c r="M46">
        <v>164.4</v>
      </c>
      <c r="N46" s="14">
        <f t="shared" si="26"/>
        <v>-2.5489033787788874E-2</v>
      </c>
      <c r="O46">
        <v>175.8</v>
      </c>
      <c r="P46" s="14">
        <f t="shared" si="27"/>
        <v>-1.8973214285714159E-2</v>
      </c>
      <c r="Q46">
        <v>185</v>
      </c>
      <c r="R46" s="14">
        <f t="shared" si="28"/>
        <v>2.8349082823790964E-2</v>
      </c>
      <c r="S46">
        <v>176.9</v>
      </c>
      <c r="T46" s="14">
        <f t="shared" si="29"/>
        <v>1.2593016599885617E-2</v>
      </c>
      <c r="U46">
        <v>124.2</v>
      </c>
      <c r="V46" s="14">
        <f t="shared" si="30"/>
        <v>8.9358245329001513E-3</v>
      </c>
      <c r="W46">
        <v>211.9</v>
      </c>
      <c r="X46" s="14">
        <f t="shared" si="31"/>
        <v>1.9730510105871003E-2</v>
      </c>
      <c r="Y46">
        <v>197.7</v>
      </c>
      <c r="Z46" s="14">
        <f t="shared" si="32"/>
        <v>3.5532994923857292E-3</v>
      </c>
      <c r="AA46">
        <v>183.1</v>
      </c>
      <c r="AB46" s="14">
        <f t="shared" si="33"/>
        <v>5.4914881933003845E-3</v>
      </c>
      <c r="AC46">
        <v>180.76666666666668</v>
      </c>
      <c r="AD46" s="14">
        <f t="shared" si="34"/>
        <v>7.8988941548182711E-3</v>
      </c>
    </row>
    <row r="48" spans="1:30" hidden="1" x14ac:dyDescent="0.3">
      <c r="A48" s="9" t="s">
        <v>0</v>
      </c>
      <c r="B48" t="s">
        <v>33</v>
      </c>
    </row>
    <row r="50" spans="1:9" x14ac:dyDescent="0.3">
      <c r="A50" s="9" t="s">
        <v>174</v>
      </c>
      <c r="B50" t="s">
        <v>224</v>
      </c>
      <c r="F50" t="s">
        <v>225</v>
      </c>
      <c r="G50" t="s">
        <v>221</v>
      </c>
      <c r="H50" t="s">
        <v>222</v>
      </c>
      <c r="I50" t="s">
        <v>223</v>
      </c>
    </row>
    <row r="51" spans="1:9" x14ac:dyDescent="0.3">
      <c r="A51" s="19">
        <v>44682</v>
      </c>
      <c r="B51" s="18">
        <v>175.30833333333337</v>
      </c>
      <c r="F51" s="20" t="s">
        <v>3</v>
      </c>
      <c r="G51">
        <v>12.6</v>
      </c>
      <c r="H51">
        <v>10.9</v>
      </c>
      <c r="I51">
        <v>12.1</v>
      </c>
    </row>
    <row r="52" spans="1:9" x14ac:dyDescent="0.3">
      <c r="A52" s="19">
        <v>44713</v>
      </c>
      <c r="B52" s="18">
        <v>177.36666666666667</v>
      </c>
      <c r="F52" s="20" t="s">
        <v>4</v>
      </c>
      <c r="G52">
        <v>-1.3</v>
      </c>
      <c r="H52">
        <v>-0.7</v>
      </c>
      <c r="I52">
        <v>-1.1000000000000001</v>
      </c>
    </row>
    <row r="53" spans="1:9" x14ac:dyDescent="0.3">
      <c r="A53" s="19">
        <v>44743</v>
      </c>
      <c r="B53" s="18">
        <v>177.65</v>
      </c>
      <c r="F53" s="20" t="s">
        <v>5</v>
      </c>
      <c r="G53">
        <v>6.9</v>
      </c>
      <c r="H53">
        <v>8.6</v>
      </c>
      <c r="I53">
        <v>7.6</v>
      </c>
    </row>
    <row r="54" spans="1:9" x14ac:dyDescent="0.3">
      <c r="A54" s="19">
        <v>44774</v>
      </c>
      <c r="B54" s="18">
        <v>177.76666666666665</v>
      </c>
      <c r="F54" s="20" t="s">
        <v>6</v>
      </c>
      <c r="G54">
        <v>8.8000000000000007</v>
      </c>
      <c r="H54">
        <v>8.1999999999999993</v>
      </c>
      <c r="I54">
        <v>8.5</v>
      </c>
    </row>
    <row r="55" spans="1:9" x14ac:dyDescent="0.3">
      <c r="A55" s="19">
        <v>44805</v>
      </c>
      <c r="B55" s="18">
        <v>178.77500000000001</v>
      </c>
      <c r="F55" s="20" t="s">
        <v>7</v>
      </c>
      <c r="G55">
        <v>-18.899999999999999</v>
      </c>
      <c r="H55">
        <v>-14</v>
      </c>
      <c r="I55">
        <v>-17.2</v>
      </c>
    </row>
    <row r="56" spans="1:9" x14ac:dyDescent="0.3">
      <c r="A56" s="19">
        <v>44835</v>
      </c>
      <c r="B56" s="18">
        <v>180.05833333333337</v>
      </c>
      <c r="F56" s="20" t="s">
        <v>8</v>
      </c>
      <c r="G56">
        <v>1.1000000000000001</v>
      </c>
      <c r="H56">
        <v>1.3</v>
      </c>
      <c r="I56">
        <v>1.2</v>
      </c>
    </row>
    <row r="57" spans="1:9" x14ac:dyDescent="0.3">
      <c r="A57" s="19">
        <v>44866</v>
      </c>
      <c r="B57" s="18">
        <v>179.35833333333335</v>
      </c>
      <c r="F57" s="20" t="s">
        <v>9</v>
      </c>
      <c r="G57">
        <v>-6</v>
      </c>
      <c r="H57">
        <v>-7.6</v>
      </c>
      <c r="I57">
        <v>-6.6</v>
      </c>
    </row>
    <row r="58" spans="1:9" x14ac:dyDescent="0.3">
      <c r="A58" s="19">
        <v>44896</v>
      </c>
      <c r="B58" s="18">
        <v>177.75</v>
      </c>
      <c r="F58" s="20" t="s">
        <v>10</v>
      </c>
      <c r="G58">
        <v>5.9</v>
      </c>
      <c r="H58">
        <v>7.6</v>
      </c>
      <c r="I58">
        <v>6.4</v>
      </c>
    </row>
    <row r="59" spans="1:9" x14ac:dyDescent="0.3">
      <c r="A59" s="19">
        <v>44927</v>
      </c>
      <c r="B59" s="18">
        <v>178.875</v>
      </c>
      <c r="F59" s="20" t="s">
        <v>11</v>
      </c>
      <c r="G59">
        <v>2.5</v>
      </c>
      <c r="H59">
        <v>2.5</v>
      </c>
      <c r="I59">
        <v>2.5</v>
      </c>
    </row>
    <row r="60" spans="1:9" x14ac:dyDescent="0.3">
      <c r="A60" s="19">
        <v>44958</v>
      </c>
      <c r="B60" s="18">
        <v>178.19166666666663</v>
      </c>
      <c r="F60" s="20" t="s">
        <v>12</v>
      </c>
      <c r="G60">
        <v>17.100000000000001</v>
      </c>
      <c r="H60">
        <v>15.7</v>
      </c>
      <c r="I60">
        <v>16.600000000000001</v>
      </c>
    </row>
    <row r="61" spans="1:9" x14ac:dyDescent="0.3">
      <c r="A61" s="19">
        <v>44986</v>
      </c>
      <c r="B61" s="18">
        <v>178.20833333333334</v>
      </c>
      <c r="F61" s="20" t="s">
        <v>14</v>
      </c>
      <c r="G61">
        <v>5.8</v>
      </c>
      <c r="H61">
        <v>6.7</v>
      </c>
      <c r="I61">
        <v>6.2</v>
      </c>
    </row>
    <row r="62" spans="1:9" x14ac:dyDescent="0.3">
      <c r="A62" s="19">
        <v>45017</v>
      </c>
      <c r="B62" s="18">
        <v>179.35000000000002</v>
      </c>
      <c r="F62" s="21" t="s">
        <v>15</v>
      </c>
      <c r="G62">
        <v>3.5</v>
      </c>
      <c r="H62">
        <v>3.1</v>
      </c>
      <c r="I62">
        <v>3.3</v>
      </c>
    </row>
    <row r="63" spans="1:9" x14ac:dyDescent="0.3">
      <c r="A63" s="19">
        <v>45047</v>
      </c>
      <c r="B63" s="18">
        <v>180.76666666666668</v>
      </c>
    </row>
    <row r="64" spans="1:9" x14ac:dyDescent="0.3">
      <c r="A64" s="19" t="s">
        <v>175</v>
      </c>
      <c r="B64" s="25">
        <v>2319.4250000000002</v>
      </c>
    </row>
  </sheetData>
  <conditionalFormatting sqref="F35:F46 F22:F33 F9:F20">
    <cfRule type="dataBar" priority="14">
      <dataBar>
        <cfvo type="min"/>
        <cfvo type="max"/>
        <color rgb="FFD6007B"/>
      </dataBar>
      <extLst>
        <ext xmlns:x14="http://schemas.microsoft.com/office/spreadsheetml/2009/9/main" uri="{B025F937-C7B1-47D3-B67F-A62EFF666E3E}">
          <x14:id>{97995D40-FB85-453B-BA0E-719195A80E73}</x14:id>
        </ext>
      </extLst>
    </cfRule>
  </conditionalFormatting>
  <conditionalFormatting sqref="H7:H46">
    <cfRule type="dataBar" priority="11">
      <dataBar>
        <cfvo type="min"/>
        <cfvo type="max"/>
        <color rgb="FFD6007B"/>
      </dataBar>
      <extLst>
        <ext xmlns:x14="http://schemas.microsoft.com/office/spreadsheetml/2009/9/main" uri="{B025F937-C7B1-47D3-B67F-A62EFF666E3E}">
          <x14:id>{E9295FA1-5351-4BF7-8766-68AD317ECEC7}</x14:id>
        </ext>
      </extLst>
    </cfRule>
  </conditionalFormatting>
  <conditionalFormatting sqref="H9:H20 H22:H33 H35:H46 J9:J20 J22:J33 J35:J46 L9:L20 L22:L33 L35:L46 N9:N20 N22:N33 N35:N46">
    <cfRule type="dataBar" priority="13">
      <dataBar>
        <cfvo type="min"/>
        <cfvo type="max"/>
        <color rgb="FFD6007B"/>
      </dataBar>
      <extLst>
        <ext xmlns:x14="http://schemas.microsoft.com/office/spreadsheetml/2009/9/main" uri="{B025F937-C7B1-47D3-B67F-A62EFF666E3E}">
          <x14:id>{E41FE26D-64F4-452D-905B-9A26AFB5353F}</x14:id>
        </ext>
      </extLst>
    </cfRule>
  </conditionalFormatting>
  <conditionalFormatting sqref="L9:L46">
    <cfRule type="dataBar" priority="10">
      <dataBar>
        <cfvo type="min"/>
        <cfvo type="max"/>
        <color rgb="FFD6007B"/>
      </dataBar>
      <extLst>
        <ext xmlns:x14="http://schemas.microsoft.com/office/spreadsheetml/2009/9/main" uri="{B025F937-C7B1-47D3-B67F-A62EFF666E3E}">
          <x14:id>{073A710C-27B9-40BE-B891-89E13A94EBFA}</x14:id>
        </ext>
      </extLst>
    </cfRule>
  </conditionalFormatting>
  <conditionalFormatting sqref="N9:N46">
    <cfRule type="dataBar" priority="9">
      <dataBar>
        <cfvo type="min"/>
        <cfvo type="max"/>
        <color rgb="FFD6007B"/>
      </dataBar>
      <extLst>
        <ext xmlns:x14="http://schemas.microsoft.com/office/spreadsheetml/2009/9/main" uri="{B025F937-C7B1-47D3-B67F-A62EFF666E3E}">
          <x14:id>{4C13F783-7581-4011-B4F2-90888252DA62}</x14:id>
        </ext>
      </extLst>
    </cfRule>
  </conditionalFormatting>
  <conditionalFormatting sqref="P9:P46 R9:R46 T9:T46 V9:V46 X9:X46 Z9:Z46 AB9:AB46 AD9:AD46">
    <cfRule type="dataBar" priority="12">
      <dataBar>
        <cfvo type="min"/>
        <cfvo type="max"/>
        <color rgb="FFD6007B"/>
      </dataBar>
      <extLst>
        <ext xmlns:x14="http://schemas.microsoft.com/office/spreadsheetml/2009/9/main" uri="{B025F937-C7B1-47D3-B67F-A62EFF666E3E}">
          <x14:id>{2B8AF88F-CC50-44DC-BC80-6732FABED8FD}</x14:id>
        </ext>
      </extLst>
    </cfRule>
  </conditionalFormatting>
  <conditionalFormatting sqref="P9:P46">
    <cfRule type="dataBar" priority="8">
      <dataBar>
        <cfvo type="min"/>
        <cfvo type="max"/>
        <color rgb="FFD6007B"/>
      </dataBar>
      <extLst>
        <ext xmlns:x14="http://schemas.microsoft.com/office/spreadsheetml/2009/9/main" uri="{B025F937-C7B1-47D3-B67F-A62EFF666E3E}">
          <x14:id>{092A909D-AE24-4909-A72D-746FCC6C3ECC}</x14:id>
        </ext>
      </extLst>
    </cfRule>
  </conditionalFormatting>
  <conditionalFormatting sqref="R9:R46">
    <cfRule type="dataBar" priority="7">
      <dataBar>
        <cfvo type="min"/>
        <cfvo type="max"/>
        <color rgb="FFD6007B"/>
      </dataBar>
      <extLst>
        <ext xmlns:x14="http://schemas.microsoft.com/office/spreadsheetml/2009/9/main" uri="{B025F937-C7B1-47D3-B67F-A62EFF666E3E}">
          <x14:id>{41D72B48-6BF3-45B5-9D7C-A006AC8BC846}</x14:id>
        </ext>
      </extLst>
    </cfRule>
  </conditionalFormatting>
  <conditionalFormatting sqref="T9:T46">
    <cfRule type="dataBar" priority="6">
      <dataBar>
        <cfvo type="min"/>
        <cfvo type="max"/>
        <color rgb="FFD6007B"/>
      </dataBar>
      <extLst>
        <ext xmlns:x14="http://schemas.microsoft.com/office/spreadsheetml/2009/9/main" uri="{B025F937-C7B1-47D3-B67F-A62EFF666E3E}">
          <x14:id>{C3009102-F3B6-4DEF-B0A6-F8BC11458AF9}</x14:id>
        </ext>
      </extLst>
    </cfRule>
  </conditionalFormatting>
  <conditionalFormatting sqref="V9:V46">
    <cfRule type="dataBar" priority="5">
      <dataBar>
        <cfvo type="min"/>
        <cfvo type="max"/>
        <color rgb="FFD6007B"/>
      </dataBar>
      <extLst>
        <ext xmlns:x14="http://schemas.microsoft.com/office/spreadsheetml/2009/9/main" uri="{B025F937-C7B1-47D3-B67F-A62EFF666E3E}">
          <x14:id>{D9E7FE65-2AE6-4F89-B7D4-1CA6A80D067B}</x14:id>
        </ext>
      </extLst>
    </cfRule>
  </conditionalFormatting>
  <conditionalFormatting sqref="X9:X46">
    <cfRule type="dataBar" priority="4">
      <dataBar>
        <cfvo type="min"/>
        <cfvo type="max"/>
        <color rgb="FFD6007B"/>
      </dataBar>
      <extLst>
        <ext xmlns:x14="http://schemas.microsoft.com/office/spreadsheetml/2009/9/main" uri="{B025F937-C7B1-47D3-B67F-A62EFF666E3E}">
          <x14:id>{E590CD6E-C248-491C-8C15-46CA2AB04257}</x14:id>
        </ext>
      </extLst>
    </cfRule>
  </conditionalFormatting>
  <conditionalFormatting sqref="Z9:Z46">
    <cfRule type="dataBar" priority="3">
      <dataBar>
        <cfvo type="min"/>
        <cfvo type="max"/>
        <color rgb="FFD6007B"/>
      </dataBar>
      <extLst>
        <ext xmlns:x14="http://schemas.microsoft.com/office/spreadsheetml/2009/9/main" uri="{B025F937-C7B1-47D3-B67F-A62EFF666E3E}">
          <x14:id>{5C29D040-B6C8-4B72-8CBF-C996EC40DECC}</x14:id>
        </ext>
      </extLst>
    </cfRule>
  </conditionalFormatting>
  <conditionalFormatting sqref="AB9:AB46">
    <cfRule type="dataBar" priority="2">
      <dataBar>
        <cfvo type="min"/>
        <cfvo type="max"/>
        <color rgb="FFD6007B"/>
      </dataBar>
      <extLst>
        <ext xmlns:x14="http://schemas.microsoft.com/office/spreadsheetml/2009/9/main" uri="{B025F937-C7B1-47D3-B67F-A62EFF666E3E}">
          <x14:id>{B47F6DF3-BE19-4945-88DE-A564EE200564}</x14:id>
        </ext>
      </extLst>
    </cfRule>
  </conditionalFormatting>
  <conditionalFormatting sqref="AD9:AD46">
    <cfRule type="dataBar" priority="1">
      <dataBar>
        <cfvo type="min"/>
        <cfvo type="max"/>
        <color rgb="FFD6007B"/>
      </dataBar>
      <extLst>
        <ext xmlns:x14="http://schemas.microsoft.com/office/spreadsheetml/2009/9/main" uri="{B025F937-C7B1-47D3-B67F-A62EFF666E3E}">
          <x14:id>{3D2F40F9-B789-441B-BF73-94DEEA4028C1}</x14:id>
        </ext>
      </extLst>
    </cfRule>
  </conditionalFormatting>
  <pageMargins left="0.7" right="0.7" top="0.75" bottom="0.75" header="0.3" footer="0.3"/>
  <drawing r:id="rId3"/>
  <tableParts count="3">
    <tablePart r:id="rId4"/>
    <tablePart r:id="rId5"/>
    <tablePart r:id="rId6"/>
  </tableParts>
  <extLst>
    <ext xmlns:x14="http://schemas.microsoft.com/office/spreadsheetml/2009/9/main" uri="{78C0D931-6437-407d-A8EE-F0AAD7539E65}">
      <x14:conditionalFormattings>
        <x14:conditionalFormatting xmlns:xm="http://schemas.microsoft.com/office/excel/2006/main">
          <x14:cfRule type="dataBar" id="{97995D40-FB85-453B-BA0E-719195A80E73}">
            <x14:dataBar minLength="0" maxLength="100" border="1" negativeBarBorderColorSameAsPositive="0">
              <x14:cfvo type="autoMin"/>
              <x14:cfvo type="autoMax"/>
              <x14:borderColor rgb="FFD6007B"/>
              <x14:negativeFillColor rgb="FFFF0000"/>
              <x14:negativeBorderColor rgb="FFFF0000"/>
              <x14:axisColor rgb="FF000000"/>
            </x14:dataBar>
          </x14:cfRule>
          <xm:sqref>F35:F46 F22:F33 F9:F20</xm:sqref>
        </x14:conditionalFormatting>
        <x14:conditionalFormatting xmlns:xm="http://schemas.microsoft.com/office/excel/2006/main">
          <x14:cfRule type="dataBar" id="{E9295FA1-5351-4BF7-8766-68AD317ECEC7}">
            <x14:dataBar minLength="0" maxLength="100" border="1" negativeBarBorderColorSameAsPositive="0">
              <x14:cfvo type="autoMin"/>
              <x14:cfvo type="autoMax"/>
              <x14:borderColor rgb="FFD6007B"/>
              <x14:negativeFillColor rgb="FFFF0000"/>
              <x14:negativeBorderColor rgb="FFFF0000"/>
              <x14:axisColor rgb="FF000000"/>
            </x14:dataBar>
          </x14:cfRule>
          <xm:sqref>H7:H46</xm:sqref>
        </x14:conditionalFormatting>
        <x14:conditionalFormatting xmlns:xm="http://schemas.microsoft.com/office/excel/2006/main">
          <x14:cfRule type="dataBar" id="{E41FE26D-64F4-452D-905B-9A26AFB5353F}">
            <x14:dataBar minLength="0" maxLength="100" border="1" negativeBarBorderColorSameAsPositive="0">
              <x14:cfvo type="autoMin"/>
              <x14:cfvo type="autoMax"/>
              <x14:borderColor rgb="FFD6007B"/>
              <x14:negativeFillColor rgb="FFFF0000"/>
              <x14:negativeBorderColor rgb="FFFF0000"/>
              <x14:axisColor rgb="FF000000"/>
            </x14:dataBar>
          </x14:cfRule>
          <xm:sqref>H9:H20 H22:H33 H35:H46 J9:J20 J22:J33 J35:J46 L9:L20 L22:L33 L35:L46 N9:N20 N22:N33 N35:N46</xm:sqref>
        </x14:conditionalFormatting>
        <x14:conditionalFormatting xmlns:xm="http://schemas.microsoft.com/office/excel/2006/main">
          <x14:cfRule type="dataBar" id="{073A710C-27B9-40BE-B891-89E13A94EBFA}">
            <x14:dataBar minLength="0" maxLength="100" border="1" negativeBarBorderColorSameAsPositive="0">
              <x14:cfvo type="autoMin"/>
              <x14:cfvo type="autoMax"/>
              <x14:borderColor rgb="FFD6007B"/>
              <x14:negativeFillColor rgb="FFFF0000"/>
              <x14:negativeBorderColor rgb="FFFF0000"/>
              <x14:axisColor rgb="FF000000"/>
            </x14:dataBar>
          </x14:cfRule>
          <xm:sqref>L9:L46</xm:sqref>
        </x14:conditionalFormatting>
        <x14:conditionalFormatting xmlns:xm="http://schemas.microsoft.com/office/excel/2006/main">
          <x14:cfRule type="dataBar" id="{4C13F783-7581-4011-B4F2-90888252DA62}">
            <x14:dataBar minLength="0" maxLength="100" border="1" negativeBarBorderColorSameAsPositive="0">
              <x14:cfvo type="autoMin"/>
              <x14:cfvo type="autoMax"/>
              <x14:borderColor rgb="FFD6007B"/>
              <x14:negativeFillColor rgb="FFFF0000"/>
              <x14:negativeBorderColor rgb="FFFF0000"/>
              <x14:axisColor rgb="FF000000"/>
            </x14:dataBar>
          </x14:cfRule>
          <xm:sqref>N9:N46</xm:sqref>
        </x14:conditionalFormatting>
        <x14:conditionalFormatting xmlns:xm="http://schemas.microsoft.com/office/excel/2006/main">
          <x14:cfRule type="dataBar" id="{2B8AF88F-CC50-44DC-BC80-6732FABED8FD}">
            <x14:dataBar minLength="0" maxLength="100" border="1" negativeBarBorderColorSameAsPositive="0">
              <x14:cfvo type="autoMin"/>
              <x14:cfvo type="autoMax"/>
              <x14:borderColor rgb="FFD6007B"/>
              <x14:negativeFillColor rgb="FFFF0000"/>
              <x14:negativeBorderColor rgb="FFFF0000"/>
              <x14:axisColor rgb="FF000000"/>
            </x14:dataBar>
          </x14:cfRule>
          <xm:sqref>P9:P46 R9:R46 T9:T46 V9:V46 X9:X46 Z9:Z46 AB9:AB46 AD9:AD46</xm:sqref>
        </x14:conditionalFormatting>
        <x14:conditionalFormatting xmlns:xm="http://schemas.microsoft.com/office/excel/2006/main">
          <x14:cfRule type="dataBar" id="{092A909D-AE24-4909-A72D-746FCC6C3ECC}">
            <x14:dataBar minLength="0" maxLength="100" border="1" negativeBarBorderColorSameAsPositive="0">
              <x14:cfvo type="autoMin"/>
              <x14:cfvo type="autoMax"/>
              <x14:borderColor rgb="FFD6007B"/>
              <x14:negativeFillColor rgb="FFFF0000"/>
              <x14:negativeBorderColor rgb="FFFF0000"/>
              <x14:axisColor rgb="FF000000"/>
            </x14:dataBar>
          </x14:cfRule>
          <xm:sqref>P9:P46</xm:sqref>
        </x14:conditionalFormatting>
        <x14:conditionalFormatting xmlns:xm="http://schemas.microsoft.com/office/excel/2006/main">
          <x14:cfRule type="dataBar" id="{41D72B48-6BF3-45B5-9D7C-A006AC8BC846}">
            <x14:dataBar minLength="0" maxLength="100" border="1" negativeBarBorderColorSameAsPositive="0">
              <x14:cfvo type="autoMin"/>
              <x14:cfvo type="autoMax"/>
              <x14:borderColor rgb="FFD6007B"/>
              <x14:negativeFillColor rgb="FFFF0000"/>
              <x14:negativeBorderColor rgb="FFFF0000"/>
              <x14:axisColor rgb="FF000000"/>
            </x14:dataBar>
          </x14:cfRule>
          <xm:sqref>R9:R46</xm:sqref>
        </x14:conditionalFormatting>
        <x14:conditionalFormatting xmlns:xm="http://schemas.microsoft.com/office/excel/2006/main">
          <x14:cfRule type="dataBar" id="{C3009102-F3B6-4DEF-B0A6-F8BC11458AF9}">
            <x14:dataBar minLength="0" maxLength="100" border="1" negativeBarBorderColorSameAsPositive="0">
              <x14:cfvo type="autoMin"/>
              <x14:cfvo type="autoMax"/>
              <x14:borderColor rgb="FFD6007B"/>
              <x14:negativeFillColor rgb="FFFF0000"/>
              <x14:negativeBorderColor rgb="FFFF0000"/>
              <x14:axisColor rgb="FF000000"/>
            </x14:dataBar>
          </x14:cfRule>
          <xm:sqref>T9:T46</xm:sqref>
        </x14:conditionalFormatting>
        <x14:conditionalFormatting xmlns:xm="http://schemas.microsoft.com/office/excel/2006/main">
          <x14:cfRule type="dataBar" id="{D9E7FE65-2AE6-4F89-B7D4-1CA6A80D067B}">
            <x14:dataBar minLength="0" maxLength="100" border="1" negativeBarBorderColorSameAsPositive="0">
              <x14:cfvo type="autoMin"/>
              <x14:cfvo type="autoMax"/>
              <x14:borderColor rgb="FFD6007B"/>
              <x14:negativeFillColor rgb="FFFF0000"/>
              <x14:negativeBorderColor rgb="FFFF0000"/>
              <x14:axisColor rgb="FF000000"/>
            </x14:dataBar>
          </x14:cfRule>
          <xm:sqref>V9:V46</xm:sqref>
        </x14:conditionalFormatting>
        <x14:conditionalFormatting xmlns:xm="http://schemas.microsoft.com/office/excel/2006/main">
          <x14:cfRule type="dataBar" id="{E590CD6E-C248-491C-8C15-46CA2AB04257}">
            <x14:dataBar minLength="0" maxLength="100" border="1" negativeBarBorderColorSameAsPositive="0">
              <x14:cfvo type="autoMin"/>
              <x14:cfvo type="autoMax"/>
              <x14:borderColor rgb="FFD6007B"/>
              <x14:negativeFillColor rgb="FFFF0000"/>
              <x14:negativeBorderColor rgb="FFFF0000"/>
              <x14:axisColor rgb="FF000000"/>
            </x14:dataBar>
          </x14:cfRule>
          <xm:sqref>X9:X46</xm:sqref>
        </x14:conditionalFormatting>
        <x14:conditionalFormatting xmlns:xm="http://schemas.microsoft.com/office/excel/2006/main">
          <x14:cfRule type="dataBar" id="{5C29D040-B6C8-4B72-8CBF-C996EC40DECC}">
            <x14:dataBar minLength="0" maxLength="100" border="1" negativeBarBorderColorSameAsPositive="0">
              <x14:cfvo type="autoMin"/>
              <x14:cfvo type="autoMax"/>
              <x14:borderColor rgb="FFD6007B"/>
              <x14:negativeFillColor rgb="FFFF0000"/>
              <x14:negativeBorderColor rgb="FFFF0000"/>
              <x14:axisColor rgb="FF000000"/>
            </x14:dataBar>
          </x14:cfRule>
          <xm:sqref>Z9:Z46</xm:sqref>
        </x14:conditionalFormatting>
        <x14:conditionalFormatting xmlns:xm="http://schemas.microsoft.com/office/excel/2006/main">
          <x14:cfRule type="dataBar" id="{B47F6DF3-BE19-4945-88DE-A564EE200564}">
            <x14:dataBar minLength="0" maxLength="100" border="1" negativeBarBorderColorSameAsPositive="0">
              <x14:cfvo type="autoMin"/>
              <x14:cfvo type="autoMax"/>
              <x14:borderColor rgb="FFD6007B"/>
              <x14:negativeFillColor rgb="FFFF0000"/>
              <x14:negativeBorderColor rgb="FFFF0000"/>
              <x14:axisColor rgb="FF000000"/>
            </x14:dataBar>
          </x14:cfRule>
          <xm:sqref>AB9:AB46</xm:sqref>
        </x14:conditionalFormatting>
        <x14:conditionalFormatting xmlns:xm="http://schemas.microsoft.com/office/excel/2006/main">
          <x14:cfRule type="dataBar" id="{3D2F40F9-B789-441B-BF73-94DEEA4028C1}">
            <x14:dataBar minLength="0" maxLength="100" border="1" negativeBarBorderColorSameAsPositive="0">
              <x14:cfvo type="autoMin"/>
              <x14:cfvo type="autoMax"/>
              <x14:borderColor rgb="FFD6007B"/>
              <x14:negativeFillColor rgb="FFFF0000"/>
              <x14:negativeBorderColor rgb="FFFF0000"/>
              <x14:axisColor rgb="FF000000"/>
            </x14:dataBar>
          </x14:cfRule>
          <xm:sqref>AD9:AD46</xm:sqref>
        </x14:conditionalFormatting>
      </x14:conditionalFormattings>
    </ext>
    <ext xmlns:x14="http://schemas.microsoft.com/office/spreadsheetml/2009/9/main" uri="{A8765BA9-456A-4dab-B4F3-ACF838C121DE}">
      <x14:slicerList>
        <x14:slicer r:id="rId7"/>
      </x14:slicerList>
    </ext>
    <ext xmlns:x15="http://schemas.microsoft.com/office/spreadsheetml/2010/11/main" uri="{3A4CF648-6AED-40f4-86FF-DC5316D8AED3}">
      <x14:slicerList xmlns:x14="http://schemas.microsoft.com/office/spreadsheetml/2009/9/main">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2BF19-A651-4F86-A20B-F2CF9A2B5993}">
  <dimension ref="A1:V86"/>
  <sheetViews>
    <sheetView topLeftCell="A6" workbookViewId="0">
      <selection activeCell="D36" sqref="D36"/>
    </sheetView>
  </sheetViews>
  <sheetFormatPr defaultRowHeight="14.4" x14ac:dyDescent="0.3"/>
  <cols>
    <col min="5" max="5" width="9.44140625" customWidth="1"/>
    <col min="6" max="6" width="11.88671875" customWidth="1"/>
    <col min="11" max="11" width="9.44140625" customWidth="1"/>
    <col min="12" max="12" width="11.88671875" customWidth="1"/>
    <col min="17" max="17" width="9.44140625" customWidth="1"/>
    <col min="18" max="18" width="11.88671875" customWidth="1"/>
  </cols>
  <sheetData>
    <row r="1" spans="2:18" x14ac:dyDescent="0.3">
      <c r="H1" s="77" t="s">
        <v>248</v>
      </c>
      <c r="I1" s="83"/>
      <c r="J1" s="83"/>
      <c r="K1" s="83"/>
      <c r="L1" s="83"/>
    </row>
    <row r="2" spans="2:18" x14ac:dyDescent="0.3">
      <c r="H2" s="83"/>
      <c r="I2" s="83"/>
      <c r="J2" s="83"/>
      <c r="K2" s="83"/>
      <c r="L2" s="83"/>
    </row>
    <row r="3" spans="2:18" x14ac:dyDescent="0.3">
      <c r="B3" s="41" t="s">
        <v>0</v>
      </c>
      <c r="C3" t="s">
        <v>235</v>
      </c>
      <c r="D3" t="s">
        <v>195</v>
      </c>
      <c r="E3" t="s">
        <v>196</v>
      </c>
      <c r="F3" t="s">
        <v>197</v>
      </c>
      <c r="H3" s="52" t="s">
        <v>0</v>
      </c>
      <c r="I3" t="s">
        <v>235</v>
      </c>
      <c r="J3" t="s">
        <v>195</v>
      </c>
      <c r="K3" t="s">
        <v>196</v>
      </c>
      <c r="L3" t="s">
        <v>197</v>
      </c>
      <c r="N3" s="52" t="s">
        <v>0</v>
      </c>
      <c r="O3" t="s">
        <v>235</v>
      </c>
      <c r="P3" t="s">
        <v>195</v>
      </c>
      <c r="Q3" t="s">
        <v>196</v>
      </c>
      <c r="R3" t="s">
        <v>197</v>
      </c>
    </row>
    <row r="4" spans="2:18" x14ac:dyDescent="0.3">
      <c r="B4" s="4" t="s">
        <v>30</v>
      </c>
      <c r="C4" s="4" t="s">
        <v>226</v>
      </c>
      <c r="D4" s="25">
        <v>0.01</v>
      </c>
      <c r="E4" s="25">
        <v>7.0000000000000007E-2</v>
      </c>
      <c r="F4" s="25">
        <v>0.05</v>
      </c>
      <c r="H4" s="4" t="s">
        <v>35</v>
      </c>
      <c r="I4" s="4" t="s">
        <v>226</v>
      </c>
      <c r="J4" s="25">
        <v>0.02</v>
      </c>
      <c r="K4" s="25">
        <v>7.0000000000000007E-2</v>
      </c>
      <c r="L4" s="25">
        <v>0.05</v>
      </c>
      <c r="N4" s="4" t="s">
        <v>33</v>
      </c>
      <c r="O4" s="4" t="s">
        <v>226</v>
      </c>
      <c r="P4" s="25">
        <v>0.02</v>
      </c>
      <c r="Q4" s="25">
        <v>0.06</v>
      </c>
      <c r="R4" s="25">
        <v>0.04</v>
      </c>
    </row>
    <row r="5" spans="2:18" x14ac:dyDescent="0.3">
      <c r="B5" s="4" t="s">
        <v>30</v>
      </c>
      <c r="C5" s="4" t="s">
        <v>227</v>
      </c>
      <c r="D5" s="25">
        <v>7.328101450028536E-2</v>
      </c>
      <c r="E5" s="25">
        <v>4.1888297872340309E-2</v>
      </c>
      <c r="F5" s="25">
        <v>3.4517067197306094E-2</v>
      </c>
      <c r="H5" s="4" t="s">
        <v>35</v>
      </c>
      <c r="I5" s="4" t="s">
        <v>227</v>
      </c>
      <c r="J5" s="50">
        <v>7.2778239202657705E-2</v>
      </c>
      <c r="K5" s="50">
        <v>4.1723666210670474E-2</v>
      </c>
      <c r="L5" s="50">
        <v>3.8641188959660233E-2</v>
      </c>
      <c r="N5" s="4" t="s">
        <v>33</v>
      </c>
      <c r="O5" s="4" t="s">
        <v>227</v>
      </c>
      <c r="P5" s="50">
        <v>7.1417489786419888E-2</v>
      </c>
      <c r="Q5" s="50">
        <v>4.1666666666666755E-2</v>
      </c>
      <c r="R5" s="50">
        <v>4.4827586206896662E-2</v>
      </c>
    </row>
    <row r="6" spans="2:18" x14ac:dyDescent="0.3">
      <c r="B6" s="4" t="s">
        <v>30</v>
      </c>
      <c r="C6" s="4" t="s">
        <v>228</v>
      </c>
      <c r="D6" s="25">
        <v>7.2158423003888389E-2</v>
      </c>
      <c r="E6" s="25">
        <v>0.06</v>
      </c>
      <c r="F6" s="25">
        <v>0.06</v>
      </c>
      <c r="H6" s="4" t="s">
        <v>35</v>
      </c>
      <c r="I6" s="4" t="s">
        <v>228</v>
      </c>
      <c r="J6" s="51">
        <v>7.0000000000000007E-2</v>
      </c>
      <c r="K6" s="51">
        <v>7.0000000000000007E-2</v>
      </c>
      <c r="L6" s="51">
        <v>0.06</v>
      </c>
      <c r="N6" s="4" t="s">
        <v>33</v>
      </c>
      <c r="O6" s="4" t="s">
        <v>228</v>
      </c>
      <c r="P6" s="51">
        <v>0.08</v>
      </c>
      <c r="Q6" s="51">
        <v>0.08</v>
      </c>
      <c r="R6" s="51">
        <v>7.0000000000000007E-2</v>
      </c>
    </row>
    <row r="20" spans="1:22" x14ac:dyDescent="0.3">
      <c r="R20" s="73" t="s">
        <v>203</v>
      </c>
      <c r="T20" s="71" t="s">
        <v>197</v>
      </c>
      <c r="V20" s="70" t="s">
        <v>196</v>
      </c>
    </row>
    <row r="21" spans="1:22" x14ac:dyDescent="0.3">
      <c r="R21" t="s">
        <v>3</v>
      </c>
      <c r="T21" t="s">
        <v>17</v>
      </c>
      <c r="V21" t="s">
        <v>23</v>
      </c>
    </row>
    <row r="22" spans="1:22" x14ac:dyDescent="0.3">
      <c r="R22" t="s">
        <v>4</v>
      </c>
      <c r="T22" t="s">
        <v>18</v>
      </c>
    </row>
    <row r="23" spans="1:22" x14ac:dyDescent="0.3">
      <c r="R23" t="s">
        <v>5</v>
      </c>
      <c r="T23" t="s">
        <v>19</v>
      </c>
    </row>
    <row r="24" spans="1:22" x14ac:dyDescent="0.3">
      <c r="R24" t="s">
        <v>6</v>
      </c>
      <c r="T24" t="s">
        <v>20</v>
      </c>
    </row>
    <row r="25" spans="1:22" x14ac:dyDescent="0.3">
      <c r="H25" s="77" t="s">
        <v>249</v>
      </c>
      <c r="I25" s="83"/>
      <c r="J25" s="83"/>
      <c r="K25" s="83"/>
      <c r="L25" s="83"/>
      <c r="R25" t="s">
        <v>7</v>
      </c>
      <c r="T25" t="s">
        <v>21</v>
      </c>
    </row>
    <row r="26" spans="1:22" x14ac:dyDescent="0.3">
      <c r="H26" s="83"/>
      <c r="I26" s="83"/>
      <c r="J26" s="83"/>
      <c r="K26" s="83"/>
      <c r="L26" s="83"/>
      <c r="R26" t="s">
        <v>8</v>
      </c>
      <c r="T26" t="s">
        <v>22</v>
      </c>
    </row>
    <row r="27" spans="1:22" hidden="1" x14ac:dyDescent="0.3">
      <c r="A27" s="23"/>
      <c r="F27" s="24"/>
      <c r="H27" s="24"/>
      <c r="J27" s="24"/>
      <c r="R27" t="s">
        <v>9</v>
      </c>
      <c r="T27" t="s">
        <v>24</v>
      </c>
    </row>
    <row r="28" spans="1:22" hidden="1" x14ac:dyDescent="0.3">
      <c r="B28" s="9" t="s">
        <v>231</v>
      </c>
      <c r="C28" t="s">
        <v>33</v>
      </c>
      <c r="D28" s="23"/>
      <c r="H28" s="9" t="s">
        <v>231</v>
      </c>
      <c r="I28" t="s">
        <v>35</v>
      </c>
      <c r="J28" s="23"/>
      <c r="N28" s="9" t="s">
        <v>231</v>
      </c>
      <c r="O28" t="s">
        <v>30</v>
      </c>
      <c r="P28" s="23"/>
      <c r="R28" t="s">
        <v>10</v>
      </c>
      <c r="T28" t="s">
        <v>25</v>
      </c>
    </row>
    <row r="29" spans="1:22" hidden="1" x14ac:dyDescent="0.3">
      <c r="R29" t="s">
        <v>11</v>
      </c>
      <c r="T29" t="s">
        <v>26</v>
      </c>
    </row>
    <row r="30" spans="1:22" x14ac:dyDescent="0.3">
      <c r="B30" s="9" t="s">
        <v>174</v>
      </c>
      <c r="C30" t="s">
        <v>203</v>
      </c>
      <c r="D30" t="s">
        <v>233</v>
      </c>
      <c r="H30" s="9" t="s">
        <v>174</v>
      </c>
      <c r="I30" t="s">
        <v>203</v>
      </c>
      <c r="J30" t="s">
        <v>233</v>
      </c>
      <c r="N30" s="9" t="s">
        <v>174</v>
      </c>
      <c r="O30" t="s">
        <v>203</v>
      </c>
      <c r="P30" t="s">
        <v>233</v>
      </c>
      <c r="R30" t="s">
        <v>12</v>
      </c>
      <c r="T30" t="s">
        <v>27</v>
      </c>
    </row>
    <row r="31" spans="1:22" x14ac:dyDescent="0.3">
      <c r="B31" s="10">
        <v>2018</v>
      </c>
      <c r="C31" s="25">
        <v>1.1871357651629737E-2</v>
      </c>
      <c r="D31" s="25">
        <v>6.0113728675873321E-2</v>
      </c>
      <c r="H31" s="10">
        <v>2018</v>
      </c>
      <c r="I31" s="25">
        <v>2.5912017167381951E-2</v>
      </c>
      <c r="J31" s="25">
        <v>5.0860719874804491E-2</v>
      </c>
      <c r="N31" s="10">
        <v>2018</v>
      </c>
      <c r="O31" s="25">
        <v>3.4388850323062638E-2</v>
      </c>
      <c r="P31" s="25">
        <v>4.6707503828483876E-2</v>
      </c>
      <c r="R31" t="s">
        <v>13</v>
      </c>
    </row>
    <row r="32" spans="1:22" x14ac:dyDescent="0.3">
      <c r="B32" s="10">
        <v>2019</v>
      </c>
      <c r="C32" s="25">
        <v>3.1196672354948805E-2</v>
      </c>
      <c r="D32" s="25">
        <v>6.6666666666666582E-2</v>
      </c>
      <c r="H32" s="10">
        <v>2019</v>
      </c>
      <c r="I32" s="25">
        <v>7.3733200857606738E-3</v>
      </c>
      <c r="J32" s="25">
        <v>8.8607594936708681E-2</v>
      </c>
      <c r="N32" s="10">
        <v>2019</v>
      </c>
      <c r="O32" s="25">
        <v>-6.7110629291204996E-3</v>
      </c>
      <c r="P32" s="25">
        <v>0.10021945866861755</v>
      </c>
      <c r="R32" t="s">
        <v>14</v>
      </c>
    </row>
    <row r="33" spans="2:18" x14ac:dyDescent="0.3">
      <c r="B33" s="10">
        <v>2020</v>
      </c>
      <c r="C33" s="25">
        <v>7.1417489786419888E-2</v>
      </c>
      <c r="D33" s="25">
        <v>4.1666666666666755E-2</v>
      </c>
      <c r="H33" s="10">
        <v>2020</v>
      </c>
      <c r="I33" s="25">
        <v>7.2778239202657705E-2</v>
      </c>
      <c r="J33" s="25">
        <v>4.1723666210670474E-2</v>
      </c>
      <c r="N33" s="10">
        <v>2020</v>
      </c>
      <c r="O33" s="25">
        <v>7.328101450028536E-2</v>
      </c>
      <c r="P33" s="25">
        <v>4.1888297872340309E-2</v>
      </c>
      <c r="R33" t="s">
        <v>15</v>
      </c>
    </row>
    <row r="34" spans="2:18" x14ac:dyDescent="0.3">
      <c r="B34" s="10">
        <v>2021</v>
      </c>
      <c r="C34" s="25">
        <v>8.9873539916980091E-2</v>
      </c>
      <c r="D34" s="25">
        <v>8.2068965517241424E-2</v>
      </c>
      <c r="H34" s="10">
        <v>2021</v>
      </c>
      <c r="I34" s="25">
        <v>7.7857350237104467E-2</v>
      </c>
      <c r="J34" s="25">
        <v>6.1720288903479817E-2</v>
      </c>
      <c r="N34" s="10">
        <v>2021</v>
      </c>
      <c r="O34" s="25">
        <v>7.1037722144206464E-2</v>
      </c>
      <c r="P34" s="25">
        <v>5.0414805360561622E-2</v>
      </c>
      <c r="R34" t="s">
        <v>16</v>
      </c>
    </row>
    <row r="35" spans="2:18" x14ac:dyDescent="0.3">
      <c r="B35" s="10">
        <v>2022</v>
      </c>
      <c r="C35" s="25">
        <v>6.0141718334809857E-2</v>
      </c>
      <c r="D35" s="25">
        <v>7.2020395156150302E-2</v>
      </c>
      <c r="H35" s="10">
        <v>2022</v>
      </c>
      <c r="I35" s="25">
        <v>6.7519640852974225E-2</v>
      </c>
      <c r="J35" s="25">
        <v>6.9882498453927105E-2</v>
      </c>
      <c r="N35" s="10">
        <v>2022</v>
      </c>
      <c r="O35" s="25">
        <v>7.2158423003888389E-2</v>
      </c>
      <c r="P35" s="25">
        <v>6.9258809234507931E-2</v>
      </c>
    </row>
    <row r="36" spans="2:18" x14ac:dyDescent="0.3">
      <c r="B36" s="10" t="s">
        <v>175</v>
      </c>
      <c r="C36" s="25">
        <v>0.26450077804478839</v>
      </c>
      <c r="D36" s="25">
        <v>0.32253642268259841</v>
      </c>
      <c r="H36" s="10" t="s">
        <v>175</v>
      </c>
      <c r="I36" s="25">
        <v>0.25144056754587901</v>
      </c>
      <c r="J36" s="25">
        <v>0.31279476837959053</v>
      </c>
      <c r="N36" s="10" t="s">
        <v>175</v>
      </c>
      <c r="O36" s="25">
        <v>0.24415494704232235</v>
      </c>
      <c r="P36" s="25">
        <v>0.30848887496451127</v>
      </c>
    </row>
    <row r="85" spans="4:17" ht="14.4" customHeight="1" x14ac:dyDescent="0.3">
      <c r="D85" s="84" t="s">
        <v>262</v>
      </c>
      <c r="E85" s="84"/>
      <c r="F85" s="84"/>
      <c r="G85" s="84"/>
      <c r="H85" s="84"/>
      <c r="M85" s="84" t="s">
        <v>263</v>
      </c>
      <c r="N85" s="84"/>
      <c r="O85" s="84"/>
      <c r="P85" s="84"/>
      <c r="Q85" s="84"/>
    </row>
    <row r="86" spans="4:17" ht="14.4" customHeight="1" x14ac:dyDescent="0.3">
      <c r="D86" s="84"/>
      <c r="E86" s="84"/>
      <c r="F86" s="84"/>
      <c r="G86" s="84"/>
      <c r="H86" s="84"/>
      <c r="M86" s="84"/>
      <c r="N86" s="84"/>
      <c r="O86" s="84"/>
      <c r="P86" s="84"/>
      <c r="Q86" s="84"/>
    </row>
  </sheetData>
  <mergeCells count="4">
    <mergeCell ref="D85:H86"/>
    <mergeCell ref="H1:L2"/>
    <mergeCell ref="H25:L26"/>
    <mergeCell ref="M85:Q86"/>
  </mergeCells>
  <pageMargins left="0.7" right="0.7" top="0.75" bottom="0.75" header="0.3" footer="0.3"/>
  <drawing r:id="rId4"/>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1F87C-99E6-4533-8DEF-C5811F44E4FB}">
  <dimension ref="A1:AC125"/>
  <sheetViews>
    <sheetView topLeftCell="D1" zoomScale="83" workbookViewId="0">
      <selection activeCell="I3" sqref="I3:I30"/>
    </sheetView>
  </sheetViews>
  <sheetFormatPr defaultRowHeight="15" customHeight="1" x14ac:dyDescent="0.3"/>
  <cols>
    <col min="1" max="1" width="15.5546875" customWidth="1"/>
    <col min="2" max="2" width="15.77734375" customWidth="1"/>
    <col min="3" max="3" width="20.44140625" customWidth="1"/>
    <col min="4" max="4" width="14.44140625" customWidth="1"/>
    <col min="5" max="5" width="10.44140625" customWidth="1"/>
    <col min="6" max="6" width="18.109375" customWidth="1"/>
    <col min="7" max="7" width="13.109375" customWidth="1"/>
    <col min="8" max="8" width="13.21875" customWidth="1"/>
    <col min="9" max="9" width="12.21875" customWidth="1"/>
    <col min="10" max="10" width="19.6640625" customWidth="1"/>
    <col min="11" max="11" width="23.6640625" customWidth="1"/>
    <col min="13" max="13" width="23.5546875" customWidth="1"/>
    <col min="14" max="14" width="32.6640625" customWidth="1"/>
    <col min="15" max="15" width="19.77734375" customWidth="1"/>
    <col min="16" max="16" width="27.109375" customWidth="1"/>
    <col min="17" max="17" width="9.88671875" customWidth="1"/>
    <col min="18" max="18" width="10.77734375" customWidth="1"/>
    <col min="19" max="19" width="21.6640625" customWidth="1"/>
    <col min="20" max="20" width="9.6640625" customWidth="1"/>
    <col min="21" max="21" width="14.109375" customWidth="1"/>
    <col min="22" max="22" width="28.109375" customWidth="1"/>
    <col min="24" max="24" width="28.33203125" customWidth="1"/>
    <col min="25" max="25" width="26" customWidth="1"/>
    <col min="26" max="26" width="11.33203125" customWidth="1"/>
    <col min="27" max="27" width="23.88671875" customWidth="1"/>
    <col min="28" max="28" width="14.77734375" customWidth="1"/>
    <col min="29" max="29" width="14.33203125" customWidth="1"/>
    <col min="31" max="31" width="22" customWidth="1"/>
    <col min="32" max="32" width="10.21875" bestFit="1" customWidth="1"/>
  </cols>
  <sheetData>
    <row r="1" spans="2:9" ht="15" customHeight="1" x14ac:dyDescent="0.5">
      <c r="B1" s="75" t="s">
        <v>30</v>
      </c>
      <c r="C1" s="75"/>
      <c r="E1" s="75" t="s">
        <v>35</v>
      </c>
      <c r="F1" s="75"/>
      <c r="G1" s="59"/>
      <c r="H1" s="75" t="s">
        <v>33</v>
      </c>
      <c r="I1" s="75"/>
    </row>
    <row r="2" spans="2:9" ht="15" customHeight="1" x14ac:dyDescent="0.5">
      <c r="B2" s="75"/>
      <c r="C2" s="75"/>
      <c r="D2" s="47"/>
      <c r="E2" s="75"/>
      <c r="F2" s="75"/>
      <c r="G2" s="59"/>
      <c r="H2" s="75"/>
      <c r="I2" s="75"/>
    </row>
    <row r="3" spans="2:9" ht="15" customHeight="1" x14ac:dyDescent="0.5">
      <c r="B3" s="60" t="s">
        <v>202</v>
      </c>
      <c r="C3" s="60" t="s">
        <v>205</v>
      </c>
      <c r="D3" s="47"/>
      <c r="E3" s="64" t="s">
        <v>202</v>
      </c>
      <c r="F3" s="65" t="s">
        <v>205</v>
      </c>
      <c r="H3" s="49" t="s">
        <v>202</v>
      </c>
      <c r="I3" s="49" t="s">
        <v>205</v>
      </c>
    </row>
    <row r="4" spans="2:9" ht="15" customHeight="1" x14ac:dyDescent="0.5">
      <c r="B4" s="61" t="s">
        <v>3</v>
      </c>
      <c r="C4" s="43">
        <f>CORREL(B35:B60,C35:C60)</f>
        <v>9.517783971742598E-2</v>
      </c>
      <c r="D4" s="47"/>
      <c r="E4" s="63" t="s">
        <v>3</v>
      </c>
      <c r="F4" s="66">
        <f>CORREL(B67:B92,C67:C92)</f>
        <v>9.8634814329868994E-2</v>
      </c>
      <c r="H4" s="41" t="s">
        <v>3</v>
      </c>
      <c r="I4" s="14">
        <f>CORREL(B100:B125,C100:C125)</f>
        <v>0.1120984643229099</v>
      </c>
    </row>
    <row r="5" spans="2:9" ht="15" customHeight="1" x14ac:dyDescent="0.5">
      <c r="B5" s="61" t="s">
        <v>4</v>
      </c>
      <c r="C5" s="43">
        <f>CORREL(B35:B60,D35:D60)</f>
        <v>0.67992492423857931</v>
      </c>
      <c r="D5" s="47"/>
      <c r="E5" s="63" t="s">
        <v>4</v>
      </c>
      <c r="F5" s="67">
        <f>CORREL(B67:B92,D67:D92)</f>
        <v>0.67992538398614677</v>
      </c>
      <c r="H5" s="41" t="s">
        <v>4</v>
      </c>
      <c r="I5" s="14">
        <f>CORREL(B100:B125,D100:D125)</f>
        <v>0.678975852644641</v>
      </c>
    </row>
    <row r="6" spans="2:9" ht="15" customHeight="1" x14ac:dyDescent="0.5">
      <c r="B6" s="61" t="s">
        <v>5</v>
      </c>
      <c r="C6" s="43">
        <f>CORREL(B35:B60,E35:E60)</f>
        <v>-0.32345910218262292</v>
      </c>
      <c r="D6" s="47"/>
      <c r="E6" s="63" t="s">
        <v>5</v>
      </c>
      <c r="F6" s="66">
        <f>CORREL(B67:B92,E67:E92)</f>
        <v>-0.33154380465055644</v>
      </c>
      <c r="H6" s="41" t="s">
        <v>5</v>
      </c>
      <c r="I6" s="14">
        <f>CORREL(B100:B125,E100:E125)</f>
        <v>-0.37582174905936233</v>
      </c>
    </row>
    <row r="7" spans="2:9" ht="15" customHeight="1" x14ac:dyDescent="0.5">
      <c r="B7" s="61" t="s">
        <v>6</v>
      </c>
      <c r="C7" s="43">
        <f>CORREL(B35:B60,F35:F60)</f>
        <v>0.1843566445832085</v>
      </c>
      <c r="D7" s="47"/>
      <c r="E7" s="63" t="s">
        <v>6</v>
      </c>
      <c r="F7" s="67">
        <f>CORREL(B67:B92,F67:F92)</f>
        <v>0.18126116174418996</v>
      </c>
      <c r="H7" s="41" t="s">
        <v>6</v>
      </c>
      <c r="I7" s="14">
        <f>CORREL(B100:B125,F100:F125)</f>
        <v>0.17895777633744342</v>
      </c>
    </row>
    <row r="8" spans="2:9" ht="15" customHeight="1" x14ac:dyDescent="0.5">
      <c r="B8" s="61" t="s">
        <v>7</v>
      </c>
      <c r="C8" s="43">
        <f>CORREL(B35:B60,G35:G60)</f>
        <v>0.73976511931188638</v>
      </c>
      <c r="D8" s="47"/>
      <c r="E8" s="63" t="s">
        <v>7</v>
      </c>
      <c r="F8" s="66">
        <f>CORREL(B67:B92,G67:G92)</f>
        <v>0.75879920089049391</v>
      </c>
      <c r="H8" s="41" t="s">
        <v>7</v>
      </c>
      <c r="I8" s="14">
        <f>CORREL(B100:B125,G100:G125)</f>
        <v>0.80561160892489603</v>
      </c>
    </row>
    <row r="9" spans="2:9" ht="15" customHeight="1" x14ac:dyDescent="0.5">
      <c r="B9" s="61" t="s">
        <v>8</v>
      </c>
      <c r="C9" s="43">
        <f>CORREL(B35:B60,H35:H60)</f>
        <v>0.33889935671978894</v>
      </c>
      <c r="D9" s="47"/>
      <c r="E9" s="63" t="s">
        <v>8</v>
      </c>
      <c r="F9" s="67">
        <f>CORREL(B67:B92,H67:H92)</f>
        <v>0.2944328890294215</v>
      </c>
      <c r="H9" s="41" t="s">
        <v>8</v>
      </c>
      <c r="I9" s="14">
        <f>CORREL(B100:B125,H100:H125)</f>
        <v>0.2258299892928308</v>
      </c>
    </row>
    <row r="10" spans="2:9" ht="15" customHeight="1" x14ac:dyDescent="0.5">
      <c r="B10" s="61" t="s">
        <v>9</v>
      </c>
      <c r="C10" s="43">
        <f>CORREL(B35:B60,I35:I60)</f>
        <v>0.42619217967286926</v>
      </c>
      <c r="D10" s="47"/>
      <c r="E10" s="41" t="s">
        <v>9</v>
      </c>
      <c r="F10" s="14">
        <f>CORREL(B67:B92,I67:I92)</f>
        <v>0.44913950476419168</v>
      </c>
      <c r="H10" s="41" t="s">
        <v>9</v>
      </c>
      <c r="I10" s="14">
        <f>CORREL(B100:B125,I100:I125)</f>
        <v>0.46663722395581914</v>
      </c>
    </row>
    <row r="11" spans="2:9" ht="15" customHeight="1" x14ac:dyDescent="0.5">
      <c r="B11" s="61" t="s">
        <v>10</v>
      </c>
      <c r="C11" s="43">
        <f>CORREL(B35:B60,J35:J60)</f>
        <v>-5.3420409199749601E-2</v>
      </c>
      <c r="D11" s="47"/>
      <c r="E11" s="41" t="s">
        <v>10</v>
      </c>
      <c r="F11" s="14">
        <f>CORREL(B67:B92,J67:J92)</f>
        <v>-0.12939252473711169</v>
      </c>
      <c r="H11" s="41" t="s">
        <v>10</v>
      </c>
      <c r="I11" s="14">
        <f>CORREL(B100:B125,J100:J125)</f>
        <v>-0.22967593983834458</v>
      </c>
    </row>
    <row r="12" spans="2:9" ht="15" customHeight="1" x14ac:dyDescent="0.5">
      <c r="B12" s="61" t="s">
        <v>11</v>
      </c>
      <c r="C12" s="43">
        <f>CORREL(B35:B60,K35:K60)</f>
        <v>0.32291520156712294</v>
      </c>
      <c r="D12" s="47"/>
      <c r="E12" s="41" t="s">
        <v>11</v>
      </c>
      <c r="F12" s="14">
        <f>CORREL(B67:B92,K67:K92)</f>
        <v>0.29673944922670309</v>
      </c>
      <c r="H12" s="41" t="s">
        <v>11</v>
      </c>
      <c r="I12" s="14">
        <f>CORREL(B100:B125,K100:K125)</f>
        <v>0.34463437264205254</v>
      </c>
    </row>
    <row r="13" spans="2:9" ht="15" customHeight="1" x14ac:dyDescent="0.5">
      <c r="B13" s="61" t="s">
        <v>12</v>
      </c>
      <c r="C13" s="43">
        <f>CORREL(B35:B60,L35:L60)</f>
        <v>0.18137325821539677</v>
      </c>
      <c r="D13" s="47"/>
      <c r="E13" s="41" t="s">
        <v>12</v>
      </c>
      <c r="F13" s="14">
        <f>CORREL(B67:B92,L67:L92)</f>
        <v>0.1826393770131538</v>
      </c>
      <c r="H13" s="41" t="s">
        <v>12</v>
      </c>
      <c r="I13" s="14">
        <f>CORREL(B100:B125,L100:L125)</f>
        <v>0.18601057156414527</v>
      </c>
    </row>
    <row r="14" spans="2:9" ht="15" customHeight="1" x14ac:dyDescent="0.5">
      <c r="B14" s="61" t="s">
        <v>13</v>
      </c>
      <c r="C14" s="43">
        <f>CORREL(B35:B60,M35:M60)</f>
        <v>0.40587295569384702</v>
      </c>
      <c r="D14" s="47"/>
      <c r="E14" s="41" t="s">
        <v>13</v>
      </c>
      <c r="F14" s="14">
        <f>CORREL(B67:B92,M67:M92)</f>
        <v>0.34204292757843474</v>
      </c>
      <c r="H14" s="41" t="s">
        <v>13</v>
      </c>
      <c r="I14" s="14">
        <f>CORREL(B100:B125,M100:M125)</f>
        <v>0.25136745740818767</v>
      </c>
    </row>
    <row r="15" spans="2:9" ht="15" customHeight="1" x14ac:dyDescent="0.5">
      <c r="B15" s="61" t="s">
        <v>14</v>
      </c>
      <c r="C15" s="43">
        <f>CORREL(B35:B60,N35:N60)</f>
        <v>0.30819824254880357</v>
      </c>
      <c r="D15" s="47"/>
      <c r="E15" s="41" t="s">
        <v>14</v>
      </c>
      <c r="F15" s="14">
        <f>CORREL(B67:B92,N67:N92)</f>
        <v>0.30194792204277632</v>
      </c>
      <c r="H15" s="41" t="s">
        <v>14</v>
      </c>
      <c r="I15" s="14">
        <f>CORREL(B100:B125,N100:N125)</f>
        <v>0.30080066329796079</v>
      </c>
    </row>
    <row r="16" spans="2:9" ht="15" customHeight="1" x14ac:dyDescent="0.5">
      <c r="B16" s="61" t="s">
        <v>15</v>
      </c>
      <c r="C16" s="43">
        <f>CORREL(B35:B60,O35:O60)</f>
        <v>0.42284747791897515</v>
      </c>
      <c r="D16" s="47"/>
      <c r="E16" s="41" t="s">
        <v>15</v>
      </c>
      <c r="F16" s="14">
        <f>CORREL(B67:B92,O67:O92)</f>
        <v>0.43280544153514783</v>
      </c>
      <c r="H16" s="41" t="s">
        <v>15</v>
      </c>
      <c r="I16" s="14">
        <f>CORREL(B100:B125,O100:O125)</f>
        <v>0.45071878106778407</v>
      </c>
    </row>
    <row r="17" spans="2:9" ht="15" customHeight="1" x14ac:dyDescent="0.5">
      <c r="B17" s="61" t="s">
        <v>16</v>
      </c>
      <c r="C17" s="43">
        <f>CORREL(B35:B60,P35:P60)</f>
        <v>0.1840823165563058</v>
      </c>
      <c r="D17" s="47"/>
      <c r="E17" s="41" t="s">
        <v>16</v>
      </c>
      <c r="F17" s="14">
        <f>CORREL(B67:B92,P67:P92)</f>
        <v>0.14932219704278443</v>
      </c>
      <c r="H17" s="41" t="s">
        <v>16</v>
      </c>
      <c r="I17" s="14">
        <f>CORREL(B100:B125,P100:P125)</f>
        <v>4.413276958581995E-2</v>
      </c>
    </row>
    <row r="18" spans="2:9" ht="15" customHeight="1" x14ac:dyDescent="0.5">
      <c r="B18" s="61" t="s">
        <v>17</v>
      </c>
      <c r="C18" s="43">
        <f>CORREL(B35:B60,Q35:Q60)</f>
        <v>0.35039561873965208</v>
      </c>
      <c r="D18" s="47"/>
      <c r="E18" s="41" t="s">
        <v>17</v>
      </c>
      <c r="F18" s="14">
        <f>CORREL(B67:B92,Q67:Q92)</f>
        <v>0.34584309116404416</v>
      </c>
      <c r="H18" s="41" t="s">
        <v>17</v>
      </c>
      <c r="I18" s="14">
        <f>CORREL(B100:B125,Q100:Q125)</f>
        <v>0.34214302772737376</v>
      </c>
    </row>
    <row r="19" spans="2:9" ht="15" customHeight="1" x14ac:dyDescent="0.5">
      <c r="B19" s="61" t="s">
        <v>18</v>
      </c>
      <c r="C19" s="43">
        <f>CORREL(B35:B60,R35:R60)</f>
        <v>0.40988870997765542</v>
      </c>
      <c r="D19" s="47"/>
      <c r="E19" s="41" t="s">
        <v>18</v>
      </c>
      <c r="F19" s="14">
        <f>CORREL(B67:B92,R67:R92)</f>
        <v>0.38937865925155146</v>
      </c>
      <c r="H19" s="41" t="s">
        <v>18</v>
      </c>
      <c r="I19" s="14">
        <f>CORREL(B100:B125,R100:R125)</f>
        <v>0.3612979706086154</v>
      </c>
    </row>
    <row r="20" spans="2:9" ht="15" customHeight="1" x14ac:dyDescent="0.5">
      <c r="B20" s="61" t="s">
        <v>19</v>
      </c>
      <c r="C20" s="43">
        <f>CORREL(B35:B60,S35:S60)</f>
        <v>0.3593037776494043</v>
      </c>
      <c r="D20" s="47"/>
      <c r="E20" s="41" t="s">
        <v>19</v>
      </c>
      <c r="F20" s="14">
        <f>CORREL(B67:B92,S67:S92)</f>
        <v>0.35337628090977957</v>
      </c>
      <c r="H20" s="41" t="s">
        <v>19</v>
      </c>
      <c r="I20" s="14">
        <f>CORREL(B100:B125,S100:S125)</f>
        <v>0.34526176363818784</v>
      </c>
    </row>
    <row r="21" spans="2:9" ht="15" customHeight="1" x14ac:dyDescent="0.5">
      <c r="B21" s="61" t="s">
        <v>20</v>
      </c>
      <c r="C21" s="43" t="s">
        <v>32</v>
      </c>
      <c r="D21" s="47"/>
      <c r="E21" s="41" t="s">
        <v>20</v>
      </c>
      <c r="F21" s="14">
        <f>CORREL(B67:B92,T67:T92)</f>
        <v>0.23713189120949721</v>
      </c>
      <c r="H21" s="41" t="s">
        <v>20</v>
      </c>
      <c r="I21" s="14">
        <f>CORREL(B100:B125,T100:T125)</f>
        <v>0.23713189120949721</v>
      </c>
    </row>
    <row r="22" spans="2:9" ht="15" customHeight="1" x14ac:dyDescent="0.5">
      <c r="B22" s="61" t="s">
        <v>21</v>
      </c>
      <c r="C22" s="43">
        <f>CORREL(B35:B60,U35:U60)</f>
        <v>0.40977216366097546</v>
      </c>
      <c r="D22" s="47"/>
      <c r="E22" s="41" t="s">
        <v>21</v>
      </c>
      <c r="F22" s="14">
        <f>CORREL(B67:B92,U67:U92)</f>
        <v>0.39522370384457078</v>
      </c>
      <c r="H22" s="41" t="s">
        <v>21</v>
      </c>
      <c r="I22" s="14">
        <f>CORREL(B100:B125,U100:U125)</f>
        <v>0.37807201489532255</v>
      </c>
    </row>
    <row r="23" spans="2:9" ht="15" customHeight="1" x14ac:dyDescent="0.5">
      <c r="B23" s="61" t="s">
        <v>22</v>
      </c>
      <c r="C23" s="43">
        <f>CORREL(B35:B60,V35:V60)</f>
        <v>0.30660101768569331</v>
      </c>
      <c r="D23" s="47"/>
      <c r="E23" s="41" t="s">
        <v>22</v>
      </c>
      <c r="F23" s="14">
        <f>CORREL(B67:B92,V67:V92)</f>
        <v>0.32600399207389963</v>
      </c>
      <c r="H23" s="41" t="s">
        <v>22</v>
      </c>
      <c r="I23" s="14">
        <f>CORREL(B100:B125,V100:V125)</f>
        <v>0.35181594296036034</v>
      </c>
    </row>
    <row r="24" spans="2:9" ht="15" customHeight="1" x14ac:dyDescent="0.5">
      <c r="B24" s="61" t="s">
        <v>23</v>
      </c>
      <c r="C24" s="43">
        <f>CORREL(B35:B60,W35:W60)</f>
        <v>0.27660394713950975</v>
      </c>
      <c r="D24" s="47"/>
      <c r="E24" s="41" t="s">
        <v>23</v>
      </c>
      <c r="F24" s="14">
        <f>CORREL(B67:B92,W67:W92)</f>
        <v>0.27018090587929278</v>
      </c>
      <c r="H24" s="41" t="s">
        <v>23</v>
      </c>
      <c r="I24" s="14">
        <f>CORREL(B100:B125,W100:W125)</f>
        <v>0.26656611635452054</v>
      </c>
    </row>
    <row r="25" spans="2:9" ht="15" customHeight="1" x14ac:dyDescent="0.5">
      <c r="B25" s="61" t="s">
        <v>24</v>
      </c>
      <c r="C25" s="43">
        <f>CORREL(B35:B60,X35:X60)</f>
        <v>0.49646430328725349</v>
      </c>
      <c r="D25" s="47"/>
      <c r="E25" s="41" t="s">
        <v>24</v>
      </c>
      <c r="F25" s="14">
        <f>CORREL(B67:B92,X67:X92)</f>
        <v>0.51557042552906418</v>
      </c>
      <c r="H25" s="41" t="s">
        <v>24</v>
      </c>
      <c r="I25" s="14">
        <f>CORREL(B100:B125,X100:X125)</f>
        <v>0.53583549947068165</v>
      </c>
    </row>
    <row r="26" spans="2:9" ht="15" customHeight="1" x14ac:dyDescent="0.5">
      <c r="B26" s="61" t="s">
        <v>25</v>
      </c>
      <c r="C26" s="43">
        <f>CORREL(B35:B60,Y35:Y60)</f>
        <v>0.37275750177507344</v>
      </c>
      <c r="D26" s="47"/>
      <c r="E26" s="41" t="s">
        <v>25</v>
      </c>
      <c r="F26" s="14">
        <f>CORREL(B67:B92,Y67:Y92)</f>
        <v>0.42044385053311606</v>
      </c>
      <c r="H26" s="41" t="s">
        <v>25</v>
      </c>
      <c r="I26" s="14">
        <f>CORREL(B100:B125,Y100:Y125)</f>
        <v>0.44989559354085079</v>
      </c>
    </row>
    <row r="27" spans="2:9" ht="15" customHeight="1" x14ac:dyDescent="0.5">
      <c r="B27" s="61" t="s">
        <v>26</v>
      </c>
      <c r="C27" s="43">
        <f>CORREL(B35:B60,Z35:Z60)</f>
        <v>0.24735977404230397</v>
      </c>
      <c r="D27" s="47"/>
      <c r="E27" s="41" t="s">
        <v>26</v>
      </c>
      <c r="F27" s="14">
        <f>CORREL(B67:B92,Z67:Z92)</f>
        <v>0.26029261296803219</v>
      </c>
      <c r="H27" s="41" t="s">
        <v>26</v>
      </c>
      <c r="I27" s="14">
        <f>CORREL(B100:B125,Z100:Z125)</f>
        <v>0.27327717518229311</v>
      </c>
    </row>
    <row r="28" spans="2:9" ht="15" customHeight="1" x14ac:dyDescent="0.5">
      <c r="B28" s="61" t="s">
        <v>27</v>
      </c>
      <c r="C28" s="43">
        <f>CORREL(B35:B60,AA35:AA60)</f>
        <v>0.23533617512180396</v>
      </c>
      <c r="D28" s="47"/>
      <c r="E28" s="41" t="s">
        <v>27</v>
      </c>
      <c r="F28" s="14">
        <f>CORREL(B67:B92,AA67:AA92)</f>
        <v>0.23018482023696962</v>
      </c>
      <c r="H28" s="41" t="s">
        <v>27</v>
      </c>
      <c r="I28" s="14">
        <f>CORREL(B100:B125,AA100:AA125)</f>
        <v>0.22095711909562235</v>
      </c>
    </row>
    <row r="29" spans="2:9" ht="15" customHeight="1" x14ac:dyDescent="0.5">
      <c r="B29" s="61" t="s">
        <v>28</v>
      </c>
      <c r="C29" s="43">
        <f>CORREL(B35:B60,AB35:AB60)</f>
        <v>0.33466632734967688</v>
      </c>
      <c r="D29" s="47"/>
      <c r="E29" s="41" t="s">
        <v>28</v>
      </c>
      <c r="F29" s="14">
        <f>CORREL(B67:B92,AB67:AB92)</f>
        <v>0.35047898033301006</v>
      </c>
      <c r="H29" s="41" t="s">
        <v>28</v>
      </c>
      <c r="I29" s="14">
        <f>CORREL(B100:B125,AB100:AB125)</f>
        <v>0.36683885506545372</v>
      </c>
    </row>
    <row r="30" spans="2:9" ht="15" customHeight="1" x14ac:dyDescent="0.5">
      <c r="B30" s="62" t="s">
        <v>29</v>
      </c>
      <c r="C30" s="43">
        <f>CORREL(B35:B60,AC35:AC60)</f>
        <v>0.39312305017293386</v>
      </c>
      <c r="D30" s="47"/>
      <c r="E30" s="48" t="s">
        <v>29</v>
      </c>
      <c r="F30" s="14">
        <f>CORREL(B67:B92,AC67:AC92)</f>
        <v>0.38680786018358077</v>
      </c>
      <c r="H30" s="48" t="s">
        <v>29</v>
      </c>
      <c r="I30" s="14">
        <f>CORREL(B100:B125,AC100:AC125)</f>
        <v>0.3807795468551527</v>
      </c>
    </row>
    <row r="31" spans="2:9" ht="15" customHeight="1" x14ac:dyDescent="0.5">
      <c r="D31" s="47"/>
    </row>
    <row r="32" spans="2:9" ht="15" customHeight="1" x14ac:dyDescent="0.5">
      <c r="D32" s="47"/>
      <c r="E32" s="47"/>
      <c r="F32" s="75" t="s">
        <v>30</v>
      </c>
      <c r="G32" s="75"/>
    </row>
    <row r="33" spans="1:29" ht="15" customHeight="1" x14ac:dyDescent="0.5">
      <c r="D33" s="47"/>
      <c r="E33" s="47"/>
      <c r="F33" s="85"/>
      <c r="G33" s="85"/>
    </row>
    <row r="34" spans="1:29" ht="15" customHeight="1" x14ac:dyDescent="0.3">
      <c r="A34" t="s">
        <v>2</v>
      </c>
      <c r="B34" t="s">
        <v>198</v>
      </c>
      <c r="C34" s="52" t="s">
        <v>3</v>
      </c>
      <c r="D34" s="52" t="s">
        <v>4</v>
      </c>
      <c r="E34" s="52" t="s">
        <v>5</v>
      </c>
      <c r="F34" s="52" t="s">
        <v>6</v>
      </c>
      <c r="G34" s="52" t="s">
        <v>7</v>
      </c>
      <c r="H34" s="52" t="s">
        <v>8</v>
      </c>
      <c r="I34" s="52" t="s">
        <v>9</v>
      </c>
      <c r="J34" s="52" t="s">
        <v>10</v>
      </c>
      <c r="K34" s="52" t="s">
        <v>11</v>
      </c>
      <c r="L34" s="52" t="s">
        <v>12</v>
      </c>
      <c r="M34" s="52" t="s">
        <v>13</v>
      </c>
      <c r="N34" s="52" t="s">
        <v>14</v>
      </c>
      <c r="O34" s="52" t="s">
        <v>15</v>
      </c>
      <c r="P34" s="52" t="s">
        <v>16</v>
      </c>
      <c r="Q34" s="52" t="s">
        <v>17</v>
      </c>
      <c r="R34" s="52" t="s">
        <v>18</v>
      </c>
      <c r="S34" s="52" t="s">
        <v>19</v>
      </c>
      <c r="T34" s="52" t="s">
        <v>20</v>
      </c>
      <c r="U34" s="52" t="s">
        <v>21</v>
      </c>
      <c r="V34" s="52" t="s">
        <v>22</v>
      </c>
      <c r="W34" s="52" t="s">
        <v>23</v>
      </c>
      <c r="X34" s="52" t="s">
        <v>24</v>
      </c>
      <c r="Y34" s="52" t="s">
        <v>25</v>
      </c>
      <c r="Z34" s="52" t="s">
        <v>26</v>
      </c>
      <c r="AA34" s="52" t="s">
        <v>27</v>
      </c>
      <c r="AB34" s="52" t="s">
        <v>28</v>
      </c>
      <c r="AC34" s="52" t="s">
        <v>29</v>
      </c>
    </row>
    <row r="35" spans="1:29" ht="15" customHeight="1" x14ac:dyDescent="0.3">
      <c r="A35" s="17">
        <v>44287</v>
      </c>
      <c r="B35" s="57">
        <v>63.396976500000008</v>
      </c>
      <c r="C35" s="4">
        <v>142.69999999999999</v>
      </c>
      <c r="D35" s="4">
        <v>195.5</v>
      </c>
      <c r="E35" s="4">
        <v>163.4</v>
      </c>
      <c r="F35" s="4">
        <v>155</v>
      </c>
      <c r="G35" s="4">
        <v>175.2</v>
      </c>
      <c r="H35" s="4">
        <v>160.6</v>
      </c>
      <c r="I35" s="4">
        <v>135.1</v>
      </c>
      <c r="J35" s="4">
        <v>161.1</v>
      </c>
      <c r="K35" s="4">
        <v>112.2</v>
      </c>
      <c r="L35" s="4">
        <v>164.4</v>
      </c>
      <c r="M35" s="4">
        <v>161.9</v>
      </c>
      <c r="N35" s="4">
        <v>166.8</v>
      </c>
      <c r="O35" s="4">
        <v>155.6</v>
      </c>
      <c r="P35" s="4">
        <v>186.8</v>
      </c>
      <c r="Q35" s="4">
        <v>160.69999999999999</v>
      </c>
      <c r="R35" s="4">
        <v>155.1</v>
      </c>
      <c r="S35" s="4">
        <v>159.9</v>
      </c>
      <c r="T35" s="4" t="s">
        <v>139</v>
      </c>
      <c r="U35" s="4">
        <v>156</v>
      </c>
      <c r="V35" s="4">
        <v>155.5</v>
      </c>
      <c r="W35" s="4">
        <v>165.3</v>
      </c>
      <c r="X35" s="4">
        <v>151.69999999999999</v>
      </c>
      <c r="Y35" s="4">
        <v>158.6</v>
      </c>
      <c r="Z35" s="4">
        <v>164.1</v>
      </c>
      <c r="AA35" s="4">
        <v>154.6</v>
      </c>
      <c r="AB35" s="4">
        <v>158</v>
      </c>
      <c r="AC35" s="4">
        <v>157.6</v>
      </c>
    </row>
    <row r="36" spans="1:29" ht="15" customHeight="1" x14ac:dyDescent="0.3">
      <c r="A36" s="17">
        <v>44317</v>
      </c>
      <c r="B36" s="57">
        <v>66.953084852941174</v>
      </c>
      <c r="C36" s="4">
        <v>145.1</v>
      </c>
      <c r="D36" s="4">
        <v>198.5</v>
      </c>
      <c r="E36" s="4">
        <v>168.6</v>
      </c>
      <c r="F36" s="4">
        <v>155.80000000000001</v>
      </c>
      <c r="G36" s="4">
        <v>184.4</v>
      </c>
      <c r="H36" s="4">
        <v>162.30000000000001</v>
      </c>
      <c r="I36" s="4">
        <v>138.4</v>
      </c>
      <c r="J36" s="4">
        <v>165.1</v>
      </c>
      <c r="K36" s="4">
        <v>114.3</v>
      </c>
      <c r="L36" s="4">
        <v>169.7</v>
      </c>
      <c r="M36" s="4">
        <v>164.6</v>
      </c>
      <c r="N36" s="4">
        <v>169.8</v>
      </c>
      <c r="O36" s="4">
        <v>158.69999999999999</v>
      </c>
      <c r="P36" s="4">
        <v>189.6</v>
      </c>
      <c r="Q36" s="4">
        <v>165.3</v>
      </c>
      <c r="R36" s="4">
        <v>160.6</v>
      </c>
      <c r="S36" s="4">
        <v>164.5</v>
      </c>
      <c r="T36" s="4" t="s">
        <v>32</v>
      </c>
      <c r="U36" s="4">
        <v>161.69999999999999</v>
      </c>
      <c r="V36" s="4">
        <v>158.80000000000001</v>
      </c>
      <c r="W36" s="4">
        <v>169.1</v>
      </c>
      <c r="X36" s="4">
        <v>153.19999999999999</v>
      </c>
      <c r="Y36" s="4">
        <v>160</v>
      </c>
      <c r="Z36" s="4">
        <v>167.6</v>
      </c>
      <c r="AA36" s="4">
        <v>159.30000000000001</v>
      </c>
      <c r="AB36" s="4">
        <v>161.1</v>
      </c>
      <c r="AC36" s="4">
        <v>161.1</v>
      </c>
    </row>
    <row r="37" spans="1:29" ht="15" customHeight="1" x14ac:dyDescent="0.3">
      <c r="A37" s="17">
        <v>44348</v>
      </c>
      <c r="B37" s="57">
        <v>71.982647477272721</v>
      </c>
      <c r="C37" s="4">
        <v>145.6</v>
      </c>
      <c r="D37" s="4">
        <v>200.1</v>
      </c>
      <c r="E37" s="4">
        <v>179.3</v>
      </c>
      <c r="F37" s="4">
        <v>156.1</v>
      </c>
      <c r="G37" s="4">
        <v>190.4</v>
      </c>
      <c r="H37" s="4">
        <v>158.6</v>
      </c>
      <c r="I37" s="4">
        <v>144.69999999999999</v>
      </c>
      <c r="J37" s="4">
        <v>165.5</v>
      </c>
      <c r="K37" s="4">
        <v>114.6</v>
      </c>
      <c r="L37" s="4">
        <v>170</v>
      </c>
      <c r="M37" s="4">
        <v>165.5</v>
      </c>
      <c r="N37" s="4">
        <v>171.7</v>
      </c>
      <c r="O37" s="4">
        <v>160.5</v>
      </c>
      <c r="P37" s="4">
        <v>189.1</v>
      </c>
      <c r="Q37" s="4">
        <v>165.3</v>
      </c>
      <c r="R37" s="4">
        <v>159.9</v>
      </c>
      <c r="S37" s="4">
        <v>164.6</v>
      </c>
      <c r="T37" s="4" t="s">
        <v>32</v>
      </c>
      <c r="U37" s="4">
        <v>162.1</v>
      </c>
      <c r="V37" s="4">
        <v>159.19999999999999</v>
      </c>
      <c r="W37" s="4">
        <v>169.7</v>
      </c>
      <c r="X37" s="4">
        <v>154.19999999999999</v>
      </c>
      <c r="Y37" s="4">
        <v>160.4</v>
      </c>
      <c r="Z37" s="4">
        <v>166.8</v>
      </c>
      <c r="AA37" s="4">
        <v>159.4</v>
      </c>
      <c r="AB37" s="4">
        <v>161.5</v>
      </c>
      <c r="AC37" s="4">
        <v>162.1</v>
      </c>
    </row>
    <row r="38" spans="1:29" ht="15" customHeight="1" x14ac:dyDescent="0.3">
      <c r="A38" s="17">
        <v>44378</v>
      </c>
      <c r="B38" s="57">
        <v>73.539060523809511</v>
      </c>
      <c r="C38" s="4">
        <v>145.1</v>
      </c>
      <c r="D38" s="4">
        <v>204.5</v>
      </c>
      <c r="E38" s="4">
        <v>180.4</v>
      </c>
      <c r="F38" s="4">
        <v>157.1</v>
      </c>
      <c r="G38" s="4">
        <v>188.7</v>
      </c>
      <c r="H38" s="4">
        <v>157.69999999999999</v>
      </c>
      <c r="I38" s="4">
        <v>152.80000000000001</v>
      </c>
      <c r="J38" s="4">
        <v>163.6</v>
      </c>
      <c r="K38" s="4">
        <v>113.9</v>
      </c>
      <c r="L38" s="4">
        <v>169.7</v>
      </c>
      <c r="M38" s="4">
        <v>166.2</v>
      </c>
      <c r="N38" s="4">
        <v>171</v>
      </c>
      <c r="O38" s="4">
        <v>161.69999999999999</v>
      </c>
      <c r="P38" s="4">
        <v>189.7</v>
      </c>
      <c r="Q38" s="4">
        <v>166</v>
      </c>
      <c r="R38" s="4">
        <v>161.1</v>
      </c>
      <c r="S38" s="4">
        <v>165.3</v>
      </c>
      <c r="T38" s="4" t="s">
        <v>32</v>
      </c>
      <c r="U38" s="4">
        <v>162.5</v>
      </c>
      <c r="V38" s="4">
        <v>160.30000000000001</v>
      </c>
      <c r="W38" s="4">
        <v>170.4</v>
      </c>
      <c r="X38" s="4">
        <v>157.1</v>
      </c>
      <c r="Y38" s="4">
        <v>160.69999999999999</v>
      </c>
      <c r="Z38" s="4">
        <v>167.2</v>
      </c>
      <c r="AA38" s="4">
        <v>160.4</v>
      </c>
      <c r="AB38" s="4">
        <v>162.80000000000001</v>
      </c>
      <c r="AC38" s="4">
        <v>163.19999999999999</v>
      </c>
    </row>
    <row r="39" spans="1:29" ht="15" customHeight="1" x14ac:dyDescent="0.3">
      <c r="A39" s="17">
        <v>44409</v>
      </c>
      <c r="B39" s="57">
        <v>69.804724424999989</v>
      </c>
      <c r="C39" s="4">
        <v>144.9</v>
      </c>
      <c r="D39" s="4">
        <v>202.3</v>
      </c>
      <c r="E39" s="4">
        <v>176.5</v>
      </c>
      <c r="F39" s="4">
        <v>157.5</v>
      </c>
      <c r="G39" s="4">
        <v>190.9</v>
      </c>
      <c r="H39" s="4">
        <v>155.69999999999999</v>
      </c>
      <c r="I39" s="4">
        <v>153.9</v>
      </c>
      <c r="J39" s="4">
        <v>162.80000000000001</v>
      </c>
      <c r="K39" s="4">
        <v>115.2</v>
      </c>
      <c r="L39" s="4">
        <v>169.8</v>
      </c>
      <c r="M39" s="4">
        <v>167.6</v>
      </c>
      <c r="N39" s="4">
        <v>171.9</v>
      </c>
      <c r="O39" s="4">
        <v>161.80000000000001</v>
      </c>
      <c r="P39" s="4">
        <v>190.2</v>
      </c>
      <c r="Q39" s="4">
        <v>167</v>
      </c>
      <c r="R39" s="4">
        <v>162.6</v>
      </c>
      <c r="S39" s="4">
        <v>166.3</v>
      </c>
      <c r="T39" s="4" t="s">
        <v>32</v>
      </c>
      <c r="U39" s="4">
        <v>163.1</v>
      </c>
      <c r="V39" s="4">
        <v>160.9</v>
      </c>
      <c r="W39" s="4">
        <v>171.1</v>
      </c>
      <c r="X39" s="4">
        <v>157.69999999999999</v>
      </c>
      <c r="Y39" s="4">
        <v>161.1</v>
      </c>
      <c r="Z39" s="4">
        <v>167.5</v>
      </c>
      <c r="AA39" s="4">
        <v>160.30000000000001</v>
      </c>
      <c r="AB39" s="4">
        <v>163.30000000000001</v>
      </c>
      <c r="AC39" s="4">
        <v>163.6</v>
      </c>
    </row>
    <row r="40" spans="1:29" ht="15" customHeight="1" x14ac:dyDescent="0.3">
      <c r="A40" s="17">
        <v>44440</v>
      </c>
      <c r="B40" s="57">
        <v>73.130738295454549</v>
      </c>
      <c r="C40" s="4">
        <v>145.4</v>
      </c>
      <c r="D40" s="4">
        <v>202.1</v>
      </c>
      <c r="E40" s="4">
        <v>172</v>
      </c>
      <c r="F40" s="4">
        <v>158</v>
      </c>
      <c r="G40" s="4">
        <v>195.5</v>
      </c>
      <c r="H40" s="4">
        <v>152.69999999999999</v>
      </c>
      <c r="I40" s="4">
        <v>151.4</v>
      </c>
      <c r="J40" s="4">
        <v>163.9</v>
      </c>
      <c r="K40" s="4">
        <v>119.3</v>
      </c>
      <c r="L40" s="4">
        <v>170.1</v>
      </c>
      <c r="M40" s="4">
        <v>168.3</v>
      </c>
      <c r="N40" s="4">
        <v>172.8</v>
      </c>
      <c r="O40" s="4">
        <v>162.1</v>
      </c>
      <c r="P40" s="4">
        <v>190.5</v>
      </c>
      <c r="Q40" s="4">
        <v>167.7</v>
      </c>
      <c r="R40" s="4">
        <v>163.6</v>
      </c>
      <c r="S40" s="4">
        <v>167.1</v>
      </c>
      <c r="T40" s="4" t="s">
        <v>32</v>
      </c>
      <c r="U40" s="4">
        <v>163.69999999999999</v>
      </c>
      <c r="V40" s="4">
        <v>161.30000000000001</v>
      </c>
      <c r="W40" s="4">
        <v>171.9</v>
      </c>
      <c r="X40" s="4">
        <v>157.80000000000001</v>
      </c>
      <c r="Y40" s="4">
        <v>162.69999999999999</v>
      </c>
      <c r="Z40" s="4">
        <v>168.5</v>
      </c>
      <c r="AA40" s="4">
        <v>160.19999999999999</v>
      </c>
      <c r="AB40" s="4">
        <v>163.80000000000001</v>
      </c>
      <c r="AC40" s="4">
        <v>164</v>
      </c>
    </row>
    <row r="41" spans="1:29" ht="15" customHeight="1" x14ac:dyDescent="0.3">
      <c r="A41" s="17">
        <v>44470</v>
      </c>
      <c r="B41" s="57">
        <v>82.107393785714294</v>
      </c>
      <c r="C41" s="4">
        <v>146.1</v>
      </c>
      <c r="D41" s="4">
        <v>202.5</v>
      </c>
      <c r="E41" s="4">
        <v>170.1</v>
      </c>
      <c r="F41" s="4">
        <v>158.4</v>
      </c>
      <c r="G41" s="4">
        <v>198.8</v>
      </c>
      <c r="H41" s="4">
        <v>152.6</v>
      </c>
      <c r="I41" s="4">
        <v>170.4</v>
      </c>
      <c r="J41" s="4">
        <v>165.2</v>
      </c>
      <c r="K41" s="4">
        <v>121.6</v>
      </c>
      <c r="L41" s="4">
        <v>170.6</v>
      </c>
      <c r="M41" s="4">
        <v>168.8</v>
      </c>
      <c r="N41" s="4">
        <v>173.6</v>
      </c>
      <c r="O41" s="4">
        <v>165.5</v>
      </c>
      <c r="P41" s="4">
        <v>191.2</v>
      </c>
      <c r="Q41" s="4">
        <v>168.9</v>
      </c>
      <c r="R41" s="4">
        <v>164.8</v>
      </c>
      <c r="S41" s="4">
        <v>168.3</v>
      </c>
      <c r="T41" s="4" t="s">
        <v>32</v>
      </c>
      <c r="U41" s="4">
        <v>165.5</v>
      </c>
      <c r="V41" s="4">
        <v>162</v>
      </c>
      <c r="W41" s="4">
        <v>172.5</v>
      </c>
      <c r="X41" s="4">
        <v>159.5</v>
      </c>
      <c r="Y41" s="4">
        <v>163.19999999999999</v>
      </c>
      <c r="Z41" s="4">
        <v>169</v>
      </c>
      <c r="AA41" s="4">
        <v>161.1</v>
      </c>
      <c r="AB41" s="4">
        <v>164.7</v>
      </c>
      <c r="AC41" s="4">
        <v>166.3</v>
      </c>
    </row>
    <row r="42" spans="1:29" ht="15" customHeight="1" x14ac:dyDescent="0.3">
      <c r="A42" s="17">
        <v>44501</v>
      </c>
      <c r="B42" s="57">
        <v>80.637301023809528</v>
      </c>
      <c r="C42" s="4">
        <v>146.9</v>
      </c>
      <c r="D42" s="4">
        <v>199.8</v>
      </c>
      <c r="E42" s="4">
        <v>171.5</v>
      </c>
      <c r="F42" s="4">
        <v>159.1</v>
      </c>
      <c r="G42" s="4">
        <v>198.4</v>
      </c>
      <c r="H42" s="4">
        <v>153.19999999999999</v>
      </c>
      <c r="I42" s="4">
        <v>183.9</v>
      </c>
      <c r="J42" s="4">
        <v>165.4</v>
      </c>
      <c r="K42" s="4">
        <v>122.1</v>
      </c>
      <c r="L42" s="4">
        <v>170.8</v>
      </c>
      <c r="M42" s="4">
        <v>169.1</v>
      </c>
      <c r="N42" s="4">
        <v>174.3</v>
      </c>
      <c r="O42" s="4">
        <v>167.5</v>
      </c>
      <c r="P42" s="4">
        <v>191.4</v>
      </c>
      <c r="Q42" s="4">
        <v>170.4</v>
      </c>
      <c r="R42" s="4">
        <v>166</v>
      </c>
      <c r="S42" s="4">
        <v>169.8</v>
      </c>
      <c r="T42" s="4" t="s">
        <v>32</v>
      </c>
      <c r="U42" s="4">
        <v>165.3</v>
      </c>
      <c r="V42" s="4">
        <v>162.9</v>
      </c>
      <c r="W42" s="4">
        <v>173.4</v>
      </c>
      <c r="X42" s="4">
        <v>158.9</v>
      </c>
      <c r="Y42" s="4">
        <v>163.80000000000001</v>
      </c>
      <c r="Z42" s="4">
        <v>169.3</v>
      </c>
      <c r="AA42" s="4">
        <v>162.4</v>
      </c>
      <c r="AB42" s="4">
        <v>165.2</v>
      </c>
      <c r="AC42" s="4">
        <v>167.6</v>
      </c>
    </row>
    <row r="43" spans="1:29" ht="15" customHeight="1" x14ac:dyDescent="0.3">
      <c r="A43" s="17">
        <v>44531</v>
      </c>
      <c r="B43" s="57">
        <v>73.298823523809531</v>
      </c>
      <c r="C43" s="4">
        <v>147.4</v>
      </c>
      <c r="D43" s="4">
        <v>197</v>
      </c>
      <c r="E43" s="4">
        <v>176.5</v>
      </c>
      <c r="F43" s="4">
        <v>159.80000000000001</v>
      </c>
      <c r="G43" s="4">
        <v>195.8</v>
      </c>
      <c r="H43" s="4">
        <v>152</v>
      </c>
      <c r="I43" s="4">
        <v>172.3</v>
      </c>
      <c r="J43" s="4">
        <v>164.5</v>
      </c>
      <c r="K43" s="4">
        <v>120.6</v>
      </c>
      <c r="L43" s="4">
        <v>171.7</v>
      </c>
      <c r="M43" s="4">
        <v>169.7</v>
      </c>
      <c r="N43" s="4">
        <v>175.1</v>
      </c>
      <c r="O43" s="4">
        <v>165.8</v>
      </c>
      <c r="P43" s="4">
        <v>190.8</v>
      </c>
      <c r="Q43" s="4">
        <v>171.8</v>
      </c>
      <c r="R43" s="4">
        <v>167.3</v>
      </c>
      <c r="S43" s="4">
        <v>171.2</v>
      </c>
      <c r="T43" s="4" t="s">
        <v>32</v>
      </c>
      <c r="U43" s="4">
        <v>165.6</v>
      </c>
      <c r="V43" s="4">
        <v>163.9</v>
      </c>
      <c r="W43" s="4">
        <v>174</v>
      </c>
      <c r="X43" s="4">
        <v>160.1</v>
      </c>
      <c r="Y43" s="4">
        <v>164.5</v>
      </c>
      <c r="Z43" s="4">
        <v>169.7</v>
      </c>
      <c r="AA43" s="4">
        <v>162.80000000000001</v>
      </c>
      <c r="AB43" s="4">
        <v>166</v>
      </c>
      <c r="AC43" s="4">
        <v>167</v>
      </c>
    </row>
    <row r="44" spans="1:29" ht="15" customHeight="1" x14ac:dyDescent="0.3">
      <c r="A44" s="17">
        <v>44562</v>
      </c>
      <c r="B44" s="57">
        <v>84.666318799999985</v>
      </c>
      <c r="C44" s="4">
        <v>148.30000000000001</v>
      </c>
      <c r="D44" s="4">
        <v>196.9</v>
      </c>
      <c r="E44" s="4">
        <v>178</v>
      </c>
      <c r="F44" s="4">
        <v>160.5</v>
      </c>
      <c r="G44" s="4">
        <v>192.6</v>
      </c>
      <c r="H44" s="4">
        <v>151.19999999999999</v>
      </c>
      <c r="I44" s="4">
        <v>159.19999999999999</v>
      </c>
      <c r="J44" s="4">
        <v>164</v>
      </c>
      <c r="K44" s="4">
        <v>119.3</v>
      </c>
      <c r="L44" s="4">
        <v>173.3</v>
      </c>
      <c r="M44" s="4">
        <v>169.8</v>
      </c>
      <c r="N44" s="4">
        <v>175.8</v>
      </c>
      <c r="O44" s="4">
        <v>164.1</v>
      </c>
      <c r="P44" s="4">
        <v>190.7</v>
      </c>
      <c r="Q44" s="4">
        <v>173.2</v>
      </c>
      <c r="R44" s="4">
        <v>169.3</v>
      </c>
      <c r="S44" s="4">
        <v>172.7</v>
      </c>
      <c r="T44" s="4" t="s">
        <v>32</v>
      </c>
      <c r="U44" s="4">
        <v>165.8</v>
      </c>
      <c r="V44" s="4">
        <v>164.9</v>
      </c>
      <c r="W44" s="4">
        <v>174.7</v>
      </c>
      <c r="X44" s="4">
        <v>160.80000000000001</v>
      </c>
      <c r="Y44" s="4">
        <v>164.9</v>
      </c>
      <c r="Z44" s="4">
        <v>169.9</v>
      </c>
      <c r="AA44" s="4">
        <v>163.19999999999999</v>
      </c>
      <c r="AB44" s="4">
        <v>166.6</v>
      </c>
      <c r="AC44" s="4">
        <v>166.4</v>
      </c>
    </row>
    <row r="45" spans="1:29" ht="15" customHeight="1" x14ac:dyDescent="0.3">
      <c r="A45" s="17">
        <v>44593</v>
      </c>
      <c r="B45" s="57">
        <v>94.067715194444446</v>
      </c>
      <c r="C45" s="4">
        <v>148.80000000000001</v>
      </c>
      <c r="D45" s="4">
        <v>198.1</v>
      </c>
      <c r="E45" s="4">
        <v>175.5</v>
      </c>
      <c r="F45" s="4">
        <v>160.69999999999999</v>
      </c>
      <c r="G45" s="4">
        <v>192.6</v>
      </c>
      <c r="H45" s="4">
        <v>151.4</v>
      </c>
      <c r="I45" s="4">
        <v>155.19999999999999</v>
      </c>
      <c r="J45" s="4">
        <v>163.9</v>
      </c>
      <c r="K45" s="4">
        <v>118.1</v>
      </c>
      <c r="L45" s="4">
        <v>175.4</v>
      </c>
      <c r="M45" s="4">
        <v>170.5</v>
      </c>
      <c r="N45" s="4">
        <v>176.3</v>
      </c>
      <c r="O45" s="4">
        <v>163.9</v>
      </c>
      <c r="P45" s="4">
        <v>191.5</v>
      </c>
      <c r="Q45" s="4">
        <v>174.1</v>
      </c>
      <c r="R45" s="4">
        <v>171</v>
      </c>
      <c r="S45" s="4">
        <v>173.7</v>
      </c>
      <c r="T45" s="4" t="s">
        <v>32</v>
      </c>
      <c r="U45" s="4">
        <v>167.4</v>
      </c>
      <c r="V45" s="4">
        <v>165.7</v>
      </c>
      <c r="W45" s="4">
        <v>175.3</v>
      </c>
      <c r="X45" s="4">
        <v>161.19999999999999</v>
      </c>
      <c r="Y45" s="4">
        <v>165.5</v>
      </c>
      <c r="Z45" s="4">
        <v>170.3</v>
      </c>
      <c r="AA45" s="4">
        <v>164.5</v>
      </c>
      <c r="AB45" s="4">
        <v>167.3</v>
      </c>
      <c r="AC45" s="4">
        <v>166.7</v>
      </c>
    </row>
    <row r="46" spans="1:29" ht="15" customHeight="1" x14ac:dyDescent="0.3">
      <c r="A46" s="17">
        <v>44621</v>
      </c>
      <c r="B46" s="57">
        <v>112.87479254347826</v>
      </c>
      <c r="C46" s="4">
        <v>150.19999999999999</v>
      </c>
      <c r="D46" s="4">
        <v>208</v>
      </c>
      <c r="E46" s="4">
        <v>167.9</v>
      </c>
      <c r="F46" s="4">
        <v>162</v>
      </c>
      <c r="G46" s="4">
        <v>203.1</v>
      </c>
      <c r="H46" s="4">
        <v>155.9</v>
      </c>
      <c r="I46" s="4">
        <v>155.80000000000001</v>
      </c>
      <c r="J46" s="4">
        <v>164.2</v>
      </c>
      <c r="K46" s="4">
        <v>118.1</v>
      </c>
      <c r="L46" s="4">
        <v>178.7</v>
      </c>
      <c r="M46" s="4">
        <v>171.2</v>
      </c>
      <c r="N46" s="4">
        <v>177.4</v>
      </c>
      <c r="O46" s="4">
        <v>166.6</v>
      </c>
      <c r="P46" s="4">
        <v>192.3</v>
      </c>
      <c r="Q46" s="4">
        <v>175.4</v>
      </c>
      <c r="R46" s="4">
        <v>173.2</v>
      </c>
      <c r="S46" s="4">
        <v>175.1</v>
      </c>
      <c r="T46" s="4" t="s">
        <v>32</v>
      </c>
      <c r="U46" s="4">
        <v>168.9</v>
      </c>
      <c r="V46" s="4">
        <v>166.5</v>
      </c>
      <c r="W46" s="4">
        <v>176</v>
      </c>
      <c r="X46" s="4">
        <v>162</v>
      </c>
      <c r="Y46" s="4">
        <v>166.6</v>
      </c>
      <c r="Z46" s="4">
        <v>170.6</v>
      </c>
      <c r="AA46" s="4">
        <v>167.4</v>
      </c>
      <c r="AB46" s="4">
        <v>168.3</v>
      </c>
      <c r="AC46" s="4">
        <v>168.7</v>
      </c>
    </row>
    <row r="47" spans="1:29" ht="15" customHeight="1" x14ac:dyDescent="0.3">
      <c r="A47" s="17">
        <v>44652</v>
      </c>
      <c r="B47" s="57">
        <v>102.96599786842103</v>
      </c>
      <c r="C47" s="4">
        <v>151.80000000000001</v>
      </c>
      <c r="D47" s="4">
        <v>209.7</v>
      </c>
      <c r="E47" s="4">
        <v>164.5</v>
      </c>
      <c r="F47" s="4">
        <v>163.80000000000001</v>
      </c>
      <c r="G47" s="4">
        <v>207.4</v>
      </c>
      <c r="H47" s="4">
        <v>169.7</v>
      </c>
      <c r="I47" s="4">
        <v>153.6</v>
      </c>
      <c r="J47" s="4">
        <v>165.1</v>
      </c>
      <c r="K47" s="4">
        <v>118.2</v>
      </c>
      <c r="L47" s="4">
        <v>182.9</v>
      </c>
      <c r="M47" s="4">
        <v>172.4</v>
      </c>
      <c r="N47" s="4">
        <v>178.9</v>
      </c>
      <c r="O47" s="4">
        <v>168.6</v>
      </c>
      <c r="P47" s="4">
        <v>192.8</v>
      </c>
      <c r="Q47" s="4">
        <v>177.5</v>
      </c>
      <c r="R47" s="4">
        <v>175.1</v>
      </c>
      <c r="S47" s="4">
        <v>177.1</v>
      </c>
      <c r="T47" s="4" t="s">
        <v>32</v>
      </c>
      <c r="U47" s="4">
        <v>173.3</v>
      </c>
      <c r="V47" s="4">
        <v>167.7</v>
      </c>
      <c r="W47" s="4">
        <v>177</v>
      </c>
      <c r="X47" s="4">
        <v>166.2</v>
      </c>
      <c r="Y47" s="4">
        <v>167.2</v>
      </c>
      <c r="Z47" s="4">
        <v>170.9</v>
      </c>
      <c r="AA47" s="4">
        <v>169</v>
      </c>
      <c r="AB47" s="4">
        <v>170.2</v>
      </c>
      <c r="AC47" s="4">
        <v>170.8</v>
      </c>
    </row>
    <row r="48" spans="1:29" ht="15" customHeight="1" x14ac:dyDescent="0.3">
      <c r="A48" s="17">
        <v>44682</v>
      </c>
      <c r="B48" s="57">
        <v>109.50503773684208</v>
      </c>
      <c r="C48" s="4">
        <v>152.9</v>
      </c>
      <c r="D48" s="4">
        <v>214.7</v>
      </c>
      <c r="E48" s="4">
        <v>161.4</v>
      </c>
      <c r="F48" s="4">
        <v>164.6</v>
      </c>
      <c r="G48" s="4">
        <v>209.9</v>
      </c>
      <c r="H48" s="4">
        <v>168</v>
      </c>
      <c r="I48" s="4">
        <v>160.4</v>
      </c>
      <c r="J48" s="4">
        <v>165</v>
      </c>
      <c r="K48" s="4">
        <v>118.9</v>
      </c>
      <c r="L48" s="4">
        <v>186.6</v>
      </c>
      <c r="M48" s="4">
        <v>173.2</v>
      </c>
      <c r="N48" s="4">
        <v>180.4</v>
      </c>
      <c r="O48" s="4">
        <v>170.8</v>
      </c>
      <c r="P48" s="4">
        <v>192.9</v>
      </c>
      <c r="Q48" s="4">
        <v>179.3</v>
      </c>
      <c r="R48" s="4">
        <v>177.2</v>
      </c>
      <c r="S48" s="4">
        <v>179</v>
      </c>
      <c r="T48" s="4" t="s">
        <v>32</v>
      </c>
      <c r="U48" s="4">
        <v>175.3</v>
      </c>
      <c r="V48" s="4">
        <v>168.9</v>
      </c>
      <c r="W48" s="4">
        <v>177.7</v>
      </c>
      <c r="X48" s="4">
        <v>167.1</v>
      </c>
      <c r="Y48" s="4">
        <v>167.6</v>
      </c>
      <c r="Z48" s="4">
        <v>171.8</v>
      </c>
      <c r="AA48" s="4">
        <v>168.5</v>
      </c>
      <c r="AB48" s="4">
        <v>170.9</v>
      </c>
      <c r="AC48" s="4">
        <v>172.5</v>
      </c>
    </row>
    <row r="49" spans="1:29" ht="15" customHeight="1" x14ac:dyDescent="0.3">
      <c r="A49" s="17">
        <v>44713</v>
      </c>
      <c r="B49" s="57">
        <v>116.01138504999999</v>
      </c>
      <c r="C49" s="4">
        <v>153.80000000000001</v>
      </c>
      <c r="D49" s="4">
        <v>217.2</v>
      </c>
      <c r="E49" s="4">
        <v>169.6</v>
      </c>
      <c r="F49" s="4">
        <v>165.4</v>
      </c>
      <c r="G49" s="4">
        <v>208.1</v>
      </c>
      <c r="H49" s="4">
        <v>165.8</v>
      </c>
      <c r="I49" s="4">
        <v>167.3</v>
      </c>
      <c r="J49" s="4">
        <v>164.6</v>
      </c>
      <c r="K49" s="4">
        <v>119.1</v>
      </c>
      <c r="L49" s="4">
        <v>188.9</v>
      </c>
      <c r="M49" s="4">
        <v>174.2</v>
      </c>
      <c r="N49" s="4">
        <v>181.9</v>
      </c>
      <c r="O49" s="4">
        <v>172.4</v>
      </c>
      <c r="P49" s="4">
        <v>192.9</v>
      </c>
      <c r="Q49" s="4">
        <v>180.7</v>
      </c>
      <c r="R49" s="4">
        <v>178.7</v>
      </c>
      <c r="S49" s="4">
        <v>180.4</v>
      </c>
      <c r="T49" s="4" t="s">
        <v>32</v>
      </c>
      <c r="U49" s="4">
        <v>176.7</v>
      </c>
      <c r="V49" s="4">
        <v>170.3</v>
      </c>
      <c r="W49" s="4">
        <v>178.2</v>
      </c>
      <c r="X49" s="4">
        <v>165.5</v>
      </c>
      <c r="Y49" s="4">
        <v>168</v>
      </c>
      <c r="Z49" s="4">
        <v>172.6</v>
      </c>
      <c r="AA49" s="4">
        <v>169.5</v>
      </c>
      <c r="AB49" s="4">
        <v>171</v>
      </c>
      <c r="AC49" s="4">
        <v>173.6</v>
      </c>
    </row>
    <row r="50" spans="1:29" ht="15" customHeight="1" x14ac:dyDescent="0.3">
      <c r="A50" s="17">
        <v>44743</v>
      </c>
      <c r="B50" s="57">
        <v>105.49124737500001</v>
      </c>
      <c r="C50" s="4">
        <v>155.19999999999999</v>
      </c>
      <c r="D50" s="4">
        <v>210.8</v>
      </c>
      <c r="E50" s="4">
        <v>174.3</v>
      </c>
      <c r="F50" s="4">
        <v>166.3</v>
      </c>
      <c r="G50" s="4">
        <v>202.2</v>
      </c>
      <c r="H50" s="4">
        <v>169.6</v>
      </c>
      <c r="I50" s="4">
        <v>168.6</v>
      </c>
      <c r="J50" s="4">
        <v>164.4</v>
      </c>
      <c r="K50" s="4">
        <v>119.2</v>
      </c>
      <c r="L50" s="4">
        <v>191.8</v>
      </c>
      <c r="M50" s="4">
        <v>174.5</v>
      </c>
      <c r="N50" s="4">
        <v>183.1</v>
      </c>
      <c r="O50" s="4">
        <v>172.5</v>
      </c>
      <c r="P50" s="4">
        <v>193.2</v>
      </c>
      <c r="Q50" s="4">
        <v>182</v>
      </c>
      <c r="R50" s="4">
        <v>180.3</v>
      </c>
      <c r="S50" s="4">
        <v>181.7</v>
      </c>
      <c r="T50" s="4" t="s">
        <v>32</v>
      </c>
      <c r="U50" s="4">
        <v>179.6</v>
      </c>
      <c r="V50" s="4">
        <v>171.3</v>
      </c>
      <c r="W50" s="4">
        <v>178.8</v>
      </c>
      <c r="X50" s="4">
        <v>166.3</v>
      </c>
      <c r="Y50" s="4">
        <v>168.6</v>
      </c>
      <c r="Z50" s="4">
        <v>174.7</v>
      </c>
      <c r="AA50" s="4">
        <v>169.7</v>
      </c>
      <c r="AB50" s="4">
        <v>171.8</v>
      </c>
      <c r="AC50" s="4">
        <v>174.3</v>
      </c>
    </row>
    <row r="51" spans="1:29" ht="15" customHeight="1" x14ac:dyDescent="0.3">
      <c r="A51" s="17">
        <v>44774</v>
      </c>
      <c r="B51" s="57">
        <v>97.404465428571427</v>
      </c>
      <c r="C51" s="4">
        <v>159.5</v>
      </c>
      <c r="D51" s="4">
        <v>204.1</v>
      </c>
      <c r="E51" s="4">
        <v>168.3</v>
      </c>
      <c r="F51" s="4">
        <v>167.9</v>
      </c>
      <c r="G51" s="4">
        <v>198.1</v>
      </c>
      <c r="H51" s="4">
        <v>169.2</v>
      </c>
      <c r="I51" s="4">
        <v>173.1</v>
      </c>
      <c r="J51" s="4">
        <v>167.1</v>
      </c>
      <c r="K51" s="4">
        <v>120.2</v>
      </c>
      <c r="L51" s="4">
        <v>195.6</v>
      </c>
      <c r="M51" s="4">
        <v>174.8</v>
      </c>
      <c r="N51" s="4">
        <v>184</v>
      </c>
      <c r="O51" s="4">
        <v>173.9</v>
      </c>
      <c r="P51" s="4">
        <v>193.7</v>
      </c>
      <c r="Q51" s="4">
        <v>183.2</v>
      </c>
      <c r="R51" s="4">
        <v>181.7</v>
      </c>
      <c r="S51" s="4">
        <v>183</v>
      </c>
      <c r="T51" s="4" t="s">
        <v>32</v>
      </c>
      <c r="U51" s="4">
        <v>179.1</v>
      </c>
      <c r="V51" s="4">
        <v>172.3</v>
      </c>
      <c r="W51" s="4">
        <v>179.4</v>
      </c>
      <c r="X51" s="4">
        <v>166.6</v>
      </c>
      <c r="Y51" s="4">
        <v>169.3</v>
      </c>
      <c r="Z51" s="4">
        <v>175.7</v>
      </c>
      <c r="AA51" s="4">
        <v>171.1</v>
      </c>
      <c r="AB51" s="4">
        <v>172.6</v>
      </c>
      <c r="AC51" s="4">
        <v>175.3</v>
      </c>
    </row>
    <row r="52" spans="1:29" ht="15" customHeight="1" x14ac:dyDescent="0.3">
      <c r="A52" s="17">
        <v>44805</v>
      </c>
      <c r="B52" s="57">
        <v>90.706344809523813</v>
      </c>
      <c r="C52" s="4">
        <v>162.9</v>
      </c>
      <c r="D52" s="4">
        <v>206.7</v>
      </c>
      <c r="E52" s="4">
        <v>169</v>
      </c>
      <c r="F52" s="4">
        <v>169.5</v>
      </c>
      <c r="G52" s="4">
        <v>194.1</v>
      </c>
      <c r="H52" s="4">
        <v>164.1</v>
      </c>
      <c r="I52" s="4">
        <v>176.9</v>
      </c>
      <c r="J52" s="4">
        <v>169</v>
      </c>
      <c r="K52" s="4">
        <v>120.8</v>
      </c>
      <c r="L52" s="4">
        <v>199.1</v>
      </c>
      <c r="M52" s="4">
        <v>175.4</v>
      </c>
      <c r="N52" s="4">
        <v>184.8</v>
      </c>
      <c r="O52" s="4">
        <v>175.5</v>
      </c>
      <c r="P52" s="4">
        <v>194.5</v>
      </c>
      <c r="Q52" s="4">
        <v>184.7</v>
      </c>
      <c r="R52" s="4">
        <v>183.3</v>
      </c>
      <c r="S52" s="4">
        <v>184.5</v>
      </c>
      <c r="T52" s="4" t="s">
        <v>32</v>
      </c>
      <c r="U52" s="4">
        <v>179.7</v>
      </c>
      <c r="V52" s="4">
        <v>173.6</v>
      </c>
      <c r="W52" s="4">
        <v>180.2</v>
      </c>
      <c r="X52" s="4">
        <v>166.9</v>
      </c>
      <c r="Y52" s="4">
        <v>170</v>
      </c>
      <c r="Z52" s="4">
        <v>176.2</v>
      </c>
      <c r="AA52" s="4">
        <v>170.8</v>
      </c>
      <c r="AB52" s="4">
        <v>173.1</v>
      </c>
      <c r="AC52" s="4">
        <v>176.4</v>
      </c>
    </row>
    <row r="53" spans="1:29" ht="15" customHeight="1" x14ac:dyDescent="0.3">
      <c r="A53" s="17">
        <v>44835</v>
      </c>
      <c r="B53" s="57">
        <v>91.698948700000003</v>
      </c>
      <c r="C53" s="4">
        <v>164.7</v>
      </c>
      <c r="D53" s="4">
        <v>208.8</v>
      </c>
      <c r="E53" s="4">
        <v>170.3</v>
      </c>
      <c r="F53" s="4">
        <v>170.9</v>
      </c>
      <c r="G53" s="4">
        <v>191.6</v>
      </c>
      <c r="H53" s="4">
        <v>162.19999999999999</v>
      </c>
      <c r="I53" s="4">
        <v>184.8</v>
      </c>
      <c r="J53" s="4">
        <v>169.7</v>
      </c>
      <c r="K53" s="4">
        <v>121.1</v>
      </c>
      <c r="L53" s="4">
        <v>201.6</v>
      </c>
      <c r="M53" s="4">
        <v>175.8</v>
      </c>
      <c r="N53" s="4">
        <v>185.6</v>
      </c>
      <c r="O53" s="4">
        <v>177.4</v>
      </c>
      <c r="P53" s="4">
        <v>194.9</v>
      </c>
      <c r="Q53" s="4">
        <v>186.1</v>
      </c>
      <c r="R53" s="4">
        <v>184.4</v>
      </c>
      <c r="S53" s="4">
        <v>185.9</v>
      </c>
      <c r="T53" s="4" t="s">
        <v>32</v>
      </c>
      <c r="U53" s="4">
        <v>180.8</v>
      </c>
      <c r="V53" s="4">
        <v>174.4</v>
      </c>
      <c r="W53" s="4">
        <v>181.2</v>
      </c>
      <c r="X53" s="4">
        <v>167.4</v>
      </c>
      <c r="Y53" s="4">
        <v>170.6</v>
      </c>
      <c r="Z53" s="4">
        <v>176.5</v>
      </c>
      <c r="AA53" s="4">
        <v>172</v>
      </c>
      <c r="AB53" s="4">
        <v>173.9</v>
      </c>
      <c r="AC53" s="4">
        <v>177.9</v>
      </c>
    </row>
    <row r="54" spans="1:29" ht="15" customHeight="1" x14ac:dyDescent="0.3">
      <c r="A54" s="17">
        <v>44866</v>
      </c>
      <c r="B54" s="57">
        <v>87.552266068181822</v>
      </c>
      <c r="C54" s="4">
        <v>166.9</v>
      </c>
      <c r="D54" s="4">
        <v>207.2</v>
      </c>
      <c r="E54" s="4">
        <v>180.2</v>
      </c>
      <c r="F54" s="4">
        <v>172.3</v>
      </c>
      <c r="G54" s="4">
        <v>194</v>
      </c>
      <c r="H54" s="4">
        <v>159.1</v>
      </c>
      <c r="I54" s="4">
        <v>171.6</v>
      </c>
      <c r="J54" s="4">
        <v>170.2</v>
      </c>
      <c r="K54" s="4">
        <v>121.5</v>
      </c>
      <c r="L54" s="4">
        <v>204.8</v>
      </c>
      <c r="M54" s="4">
        <v>176.4</v>
      </c>
      <c r="N54" s="4">
        <v>186.9</v>
      </c>
      <c r="O54" s="4">
        <v>176.6</v>
      </c>
      <c r="P54" s="4">
        <v>195.5</v>
      </c>
      <c r="Q54" s="4">
        <v>187.2</v>
      </c>
      <c r="R54" s="4">
        <v>185.2</v>
      </c>
      <c r="S54" s="4">
        <v>186.9</v>
      </c>
      <c r="T54" s="4" t="s">
        <v>32</v>
      </c>
      <c r="U54" s="4">
        <v>181.9</v>
      </c>
      <c r="V54" s="4">
        <v>175.5</v>
      </c>
      <c r="W54" s="4">
        <v>182.3</v>
      </c>
      <c r="X54" s="4">
        <v>167.5</v>
      </c>
      <c r="Y54" s="4">
        <v>170.8</v>
      </c>
      <c r="Z54" s="4">
        <v>176.9</v>
      </c>
      <c r="AA54" s="4">
        <v>173.4</v>
      </c>
      <c r="AB54" s="4">
        <v>174.6</v>
      </c>
      <c r="AC54" s="4">
        <v>177.8</v>
      </c>
    </row>
    <row r="55" spans="1:29" ht="15" customHeight="1" x14ac:dyDescent="0.3">
      <c r="A55" s="17">
        <v>44896</v>
      </c>
      <c r="B55" s="57">
        <v>78.100942275000008</v>
      </c>
      <c r="C55" s="4">
        <v>168.8</v>
      </c>
      <c r="D55" s="4">
        <v>206.9</v>
      </c>
      <c r="E55" s="4">
        <v>189.1</v>
      </c>
      <c r="F55" s="4">
        <v>173.4</v>
      </c>
      <c r="G55" s="4">
        <v>193.9</v>
      </c>
      <c r="H55" s="4">
        <v>156.69999999999999</v>
      </c>
      <c r="I55" s="4">
        <v>150.19999999999999</v>
      </c>
      <c r="J55" s="4">
        <v>170.5</v>
      </c>
      <c r="K55" s="4">
        <v>121.2</v>
      </c>
      <c r="L55" s="4">
        <v>207.5</v>
      </c>
      <c r="M55" s="4">
        <v>176.8</v>
      </c>
      <c r="N55" s="4">
        <v>187.7</v>
      </c>
      <c r="O55" s="4">
        <v>174.4</v>
      </c>
      <c r="P55" s="4">
        <v>195.9</v>
      </c>
      <c r="Q55" s="4">
        <v>188.1</v>
      </c>
      <c r="R55" s="4">
        <v>185.9</v>
      </c>
      <c r="S55" s="4">
        <v>187.8</v>
      </c>
      <c r="T55" s="4" t="s">
        <v>32</v>
      </c>
      <c r="U55" s="4">
        <v>182.8</v>
      </c>
      <c r="V55" s="4">
        <v>176.4</v>
      </c>
      <c r="W55" s="4">
        <v>183.5</v>
      </c>
      <c r="X55" s="4">
        <v>167.8</v>
      </c>
      <c r="Y55" s="4">
        <v>171.2</v>
      </c>
      <c r="Z55" s="4">
        <v>177.3</v>
      </c>
      <c r="AA55" s="4">
        <v>175.7</v>
      </c>
      <c r="AB55" s="4">
        <v>175.5</v>
      </c>
      <c r="AC55" s="4">
        <v>177.1</v>
      </c>
    </row>
    <row r="56" spans="1:29" ht="15" customHeight="1" x14ac:dyDescent="0.3">
      <c r="A56" s="17">
        <v>44927</v>
      </c>
      <c r="B56" s="57">
        <v>80.922269684210534</v>
      </c>
      <c r="C56" s="4">
        <v>174</v>
      </c>
      <c r="D56" s="4">
        <v>208.3</v>
      </c>
      <c r="E56" s="4">
        <v>192.9</v>
      </c>
      <c r="F56" s="4">
        <v>174.3</v>
      </c>
      <c r="G56" s="4">
        <v>192.6</v>
      </c>
      <c r="H56" s="4">
        <v>156.30000000000001</v>
      </c>
      <c r="I56" s="4">
        <v>142.9</v>
      </c>
      <c r="J56" s="4">
        <v>170.7</v>
      </c>
      <c r="K56" s="4">
        <v>120.3</v>
      </c>
      <c r="L56" s="4">
        <v>210.5</v>
      </c>
      <c r="M56" s="4">
        <v>176.9</v>
      </c>
      <c r="N56" s="4">
        <v>188.5</v>
      </c>
      <c r="O56" s="4">
        <v>175</v>
      </c>
      <c r="P56" s="4">
        <v>196.9</v>
      </c>
      <c r="Q56" s="4">
        <v>189</v>
      </c>
      <c r="R56" s="4">
        <v>186.3</v>
      </c>
      <c r="S56" s="4">
        <v>188.6</v>
      </c>
      <c r="T56" s="4" t="s">
        <v>32</v>
      </c>
      <c r="U56" s="4">
        <v>183.2</v>
      </c>
      <c r="V56" s="4">
        <v>177.2</v>
      </c>
      <c r="W56" s="4">
        <v>184.7</v>
      </c>
      <c r="X56" s="4">
        <v>168.2</v>
      </c>
      <c r="Y56" s="4">
        <v>171.8</v>
      </c>
      <c r="Z56" s="4">
        <v>177.8</v>
      </c>
      <c r="AA56" s="4">
        <v>178.4</v>
      </c>
      <c r="AB56" s="4">
        <v>176.5</v>
      </c>
      <c r="AC56" s="4">
        <v>177.8</v>
      </c>
    </row>
    <row r="57" spans="1:29" ht="15" customHeight="1" x14ac:dyDescent="0.3">
      <c r="A57" s="17">
        <v>44958</v>
      </c>
      <c r="B57" s="57">
        <v>82.278706675000009</v>
      </c>
      <c r="C57" s="4">
        <v>174.2</v>
      </c>
      <c r="D57" s="4">
        <v>205.2</v>
      </c>
      <c r="E57" s="4">
        <v>173.9</v>
      </c>
      <c r="F57" s="4">
        <v>177</v>
      </c>
      <c r="G57" s="4">
        <v>183.4</v>
      </c>
      <c r="H57" s="4">
        <v>167.2</v>
      </c>
      <c r="I57" s="4">
        <v>140.9</v>
      </c>
      <c r="J57" s="4">
        <v>170.4</v>
      </c>
      <c r="K57" s="4">
        <v>119.1</v>
      </c>
      <c r="L57" s="4">
        <v>212.1</v>
      </c>
      <c r="M57" s="4">
        <v>177.6</v>
      </c>
      <c r="N57" s="4">
        <v>189.9</v>
      </c>
      <c r="O57" s="4">
        <v>174.8</v>
      </c>
      <c r="P57" s="4">
        <v>198.3</v>
      </c>
      <c r="Q57" s="4">
        <v>190</v>
      </c>
      <c r="R57" s="4">
        <v>187</v>
      </c>
      <c r="S57" s="4">
        <v>189.6</v>
      </c>
      <c r="T57" s="4" t="s">
        <v>32</v>
      </c>
      <c r="U57" s="4">
        <v>181.6</v>
      </c>
      <c r="V57" s="4">
        <v>178.6</v>
      </c>
      <c r="W57" s="4">
        <v>186.6</v>
      </c>
      <c r="X57" s="4">
        <v>169</v>
      </c>
      <c r="Y57" s="4">
        <v>172.8</v>
      </c>
      <c r="Z57" s="4">
        <v>178.5</v>
      </c>
      <c r="AA57" s="4">
        <v>180.7</v>
      </c>
      <c r="AB57" s="4">
        <v>177.9</v>
      </c>
      <c r="AC57" s="4">
        <v>178</v>
      </c>
    </row>
    <row r="58" spans="1:29" ht="15" customHeight="1" x14ac:dyDescent="0.3">
      <c r="A58" s="17">
        <v>44986</v>
      </c>
      <c r="B58" s="57">
        <v>78.539480282608693</v>
      </c>
      <c r="C58" s="4">
        <v>174.3</v>
      </c>
      <c r="D58" s="4">
        <v>205.2</v>
      </c>
      <c r="E58" s="4">
        <v>173.9</v>
      </c>
      <c r="F58" s="4">
        <v>177</v>
      </c>
      <c r="G58" s="4">
        <v>183.3</v>
      </c>
      <c r="H58" s="4">
        <v>167.2</v>
      </c>
      <c r="I58" s="4">
        <v>140.9</v>
      </c>
      <c r="J58" s="4">
        <v>170.5</v>
      </c>
      <c r="K58" s="4">
        <v>119.1</v>
      </c>
      <c r="L58" s="4">
        <v>212.1</v>
      </c>
      <c r="M58" s="4">
        <v>177.6</v>
      </c>
      <c r="N58" s="4">
        <v>189.9</v>
      </c>
      <c r="O58" s="4">
        <v>174.8</v>
      </c>
      <c r="P58" s="4">
        <v>198.4</v>
      </c>
      <c r="Q58" s="4">
        <v>190</v>
      </c>
      <c r="R58" s="4">
        <v>187</v>
      </c>
      <c r="S58" s="4">
        <v>189.6</v>
      </c>
      <c r="T58" s="4" t="s">
        <v>32</v>
      </c>
      <c r="U58" s="4">
        <v>181.4</v>
      </c>
      <c r="V58" s="4">
        <v>178.6</v>
      </c>
      <c r="W58" s="4">
        <v>186.6</v>
      </c>
      <c r="X58" s="4">
        <v>169</v>
      </c>
      <c r="Y58" s="4">
        <v>172.8</v>
      </c>
      <c r="Z58" s="4">
        <v>178.5</v>
      </c>
      <c r="AA58" s="4">
        <v>180.7</v>
      </c>
      <c r="AB58" s="4">
        <v>177.9</v>
      </c>
      <c r="AC58" s="4">
        <v>178</v>
      </c>
    </row>
    <row r="59" spans="1:29" ht="15" customHeight="1" x14ac:dyDescent="0.3">
      <c r="A59" s="17">
        <v>45017</v>
      </c>
      <c r="B59" s="57">
        <v>83.755358416666667</v>
      </c>
      <c r="C59" s="4">
        <v>173.3</v>
      </c>
      <c r="D59" s="4">
        <v>206.9</v>
      </c>
      <c r="E59" s="4">
        <v>167.9</v>
      </c>
      <c r="F59" s="4">
        <v>178.2</v>
      </c>
      <c r="G59" s="4">
        <v>178.5</v>
      </c>
      <c r="H59" s="4">
        <v>173.7</v>
      </c>
      <c r="I59" s="4">
        <v>142.80000000000001</v>
      </c>
      <c r="J59" s="4">
        <v>172.8</v>
      </c>
      <c r="K59" s="4">
        <v>120.4</v>
      </c>
      <c r="L59" s="4">
        <v>215.5</v>
      </c>
      <c r="M59" s="4">
        <v>178.2</v>
      </c>
      <c r="N59" s="4">
        <v>190.5</v>
      </c>
      <c r="O59" s="4">
        <v>175.5</v>
      </c>
      <c r="P59" s="4">
        <v>199.5</v>
      </c>
      <c r="Q59" s="4">
        <v>190.7</v>
      </c>
      <c r="R59" s="4">
        <v>187.3</v>
      </c>
      <c r="S59" s="4">
        <v>190.2</v>
      </c>
      <c r="T59" s="4" t="s">
        <v>139</v>
      </c>
      <c r="U59" s="4">
        <v>181.5</v>
      </c>
      <c r="V59" s="4">
        <v>179.1</v>
      </c>
      <c r="W59" s="4">
        <v>187.2</v>
      </c>
      <c r="X59" s="4">
        <v>169.4</v>
      </c>
      <c r="Y59" s="4">
        <v>173.2</v>
      </c>
      <c r="Z59" s="4">
        <v>179.4</v>
      </c>
      <c r="AA59" s="4">
        <v>183.8</v>
      </c>
      <c r="AB59" s="4">
        <v>178.9</v>
      </c>
      <c r="AC59" s="4">
        <v>178.8</v>
      </c>
    </row>
    <row r="60" spans="1:29" ht="15" customHeight="1" x14ac:dyDescent="0.3">
      <c r="A60" s="17">
        <v>45047</v>
      </c>
      <c r="B60" s="57">
        <v>74.981547824999993</v>
      </c>
      <c r="C60" s="4">
        <v>173.2</v>
      </c>
      <c r="D60" s="4">
        <v>211.5</v>
      </c>
      <c r="E60" s="4">
        <v>171</v>
      </c>
      <c r="F60" s="4">
        <v>179.6</v>
      </c>
      <c r="G60" s="4">
        <v>173.3</v>
      </c>
      <c r="H60" s="4">
        <v>169</v>
      </c>
      <c r="I60" s="4">
        <v>148.69999999999999</v>
      </c>
      <c r="J60" s="4">
        <v>174.9</v>
      </c>
      <c r="K60" s="4">
        <v>121.9</v>
      </c>
      <c r="L60" s="4">
        <v>221</v>
      </c>
      <c r="M60" s="4">
        <v>178.7</v>
      </c>
      <c r="N60" s="4">
        <v>191.1</v>
      </c>
      <c r="O60" s="4">
        <v>176.8</v>
      </c>
      <c r="P60" s="4">
        <v>199.9</v>
      </c>
      <c r="Q60" s="4">
        <v>191.2</v>
      </c>
      <c r="R60" s="4">
        <v>187.9</v>
      </c>
      <c r="S60" s="4">
        <v>190.8</v>
      </c>
      <c r="T60" s="4" t="s">
        <v>139</v>
      </c>
      <c r="U60" s="4">
        <v>182.5</v>
      </c>
      <c r="V60" s="4">
        <v>179.8</v>
      </c>
      <c r="W60" s="4">
        <v>187.8</v>
      </c>
      <c r="X60" s="4">
        <v>169.7</v>
      </c>
      <c r="Y60" s="4">
        <v>173.8</v>
      </c>
      <c r="Z60" s="4">
        <v>180.3</v>
      </c>
      <c r="AA60" s="4">
        <v>184.9</v>
      </c>
      <c r="AB60" s="4">
        <v>179.5</v>
      </c>
      <c r="AC60" s="4">
        <v>179.8</v>
      </c>
    </row>
    <row r="63" spans="1:29" ht="15" customHeight="1" x14ac:dyDescent="0.3">
      <c r="G63" s="75" t="s">
        <v>35</v>
      </c>
      <c r="H63" s="75"/>
      <c r="I63" s="75"/>
    </row>
    <row r="64" spans="1:29" ht="15" customHeight="1" x14ac:dyDescent="0.3">
      <c r="G64" s="75"/>
      <c r="H64" s="75"/>
      <c r="I64" s="75"/>
    </row>
    <row r="66" spans="1:29" ht="15" customHeight="1" x14ac:dyDescent="0.3">
      <c r="A66" t="s">
        <v>2</v>
      </c>
      <c r="B66" t="s">
        <v>198</v>
      </c>
      <c r="C66" s="52" t="s">
        <v>3</v>
      </c>
      <c r="D66" s="52" t="s">
        <v>4</v>
      </c>
      <c r="E66" s="52" t="s">
        <v>5</v>
      </c>
      <c r="F66" s="52" t="s">
        <v>6</v>
      </c>
      <c r="G66" s="52" t="s">
        <v>7</v>
      </c>
      <c r="H66" s="52" t="s">
        <v>8</v>
      </c>
      <c r="I66" s="52" t="s">
        <v>9</v>
      </c>
      <c r="J66" s="52" t="s">
        <v>10</v>
      </c>
      <c r="K66" s="52" t="s">
        <v>11</v>
      </c>
      <c r="L66" s="52" t="s">
        <v>12</v>
      </c>
      <c r="M66" s="52" t="s">
        <v>13</v>
      </c>
      <c r="N66" s="52" t="s">
        <v>14</v>
      </c>
      <c r="O66" s="52" t="s">
        <v>15</v>
      </c>
      <c r="P66" s="52" t="s">
        <v>16</v>
      </c>
      <c r="Q66" s="52" t="s">
        <v>17</v>
      </c>
      <c r="R66" s="52" t="s">
        <v>18</v>
      </c>
      <c r="S66" s="52" t="s">
        <v>19</v>
      </c>
      <c r="T66" s="52" t="s">
        <v>20</v>
      </c>
      <c r="U66" s="52" t="s">
        <v>21</v>
      </c>
      <c r="V66" s="52" t="s">
        <v>22</v>
      </c>
      <c r="W66" s="52" t="s">
        <v>23</v>
      </c>
      <c r="X66" s="52" t="s">
        <v>24</v>
      </c>
      <c r="Y66" s="52" t="s">
        <v>25</v>
      </c>
      <c r="Z66" s="52" t="s">
        <v>26</v>
      </c>
      <c r="AA66" s="52" t="s">
        <v>27</v>
      </c>
      <c r="AB66" s="52" t="s">
        <v>28</v>
      </c>
      <c r="AC66" s="52" t="s">
        <v>29</v>
      </c>
    </row>
    <row r="67" spans="1:29" ht="15" customHeight="1" x14ac:dyDescent="0.3">
      <c r="A67" s="17">
        <v>44287</v>
      </c>
      <c r="B67" s="57">
        <v>63.396976500000001</v>
      </c>
      <c r="C67" s="4">
        <v>144.30000000000001</v>
      </c>
      <c r="D67" s="4">
        <v>198</v>
      </c>
      <c r="E67" s="4">
        <v>164.6</v>
      </c>
      <c r="F67" s="4">
        <v>155.4</v>
      </c>
      <c r="G67" s="4">
        <v>170.1</v>
      </c>
      <c r="H67" s="4">
        <v>164.4</v>
      </c>
      <c r="I67" s="4">
        <v>144.1</v>
      </c>
      <c r="J67" s="4">
        <v>161.69999999999999</v>
      </c>
      <c r="K67" s="4">
        <v>113.1</v>
      </c>
      <c r="L67" s="4">
        <v>163.9</v>
      </c>
      <c r="M67" s="4">
        <v>157.6</v>
      </c>
      <c r="N67" s="4">
        <v>168.9</v>
      </c>
      <c r="O67" s="4">
        <v>158</v>
      </c>
      <c r="P67" s="4">
        <v>188.8</v>
      </c>
      <c r="Q67" s="4">
        <v>158.80000000000001</v>
      </c>
      <c r="R67" s="4">
        <v>148.5</v>
      </c>
      <c r="S67" s="4">
        <v>157.30000000000001</v>
      </c>
      <c r="T67" s="4">
        <v>161.4</v>
      </c>
      <c r="U67" s="4">
        <v>155.6</v>
      </c>
      <c r="V67" s="4">
        <v>151.80000000000001</v>
      </c>
      <c r="W67" s="4">
        <v>162.30000000000001</v>
      </c>
      <c r="X67" s="4">
        <v>146.6</v>
      </c>
      <c r="Y67" s="4">
        <v>153.19999999999999</v>
      </c>
      <c r="Z67" s="4">
        <v>160.30000000000001</v>
      </c>
      <c r="AA67" s="4">
        <v>155.4</v>
      </c>
      <c r="AB67" s="4">
        <v>154.4</v>
      </c>
      <c r="AC67" s="4">
        <v>157.80000000000001</v>
      </c>
    </row>
    <row r="68" spans="1:29" ht="15" customHeight="1" x14ac:dyDescent="0.3">
      <c r="A68" s="17">
        <v>44317</v>
      </c>
      <c r="B68" s="57">
        <v>66.953084852941174</v>
      </c>
      <c r="C68" s="4">
        <v>146.30000000000001</v>
      </c>
      <c r="D68" s="4">
        <v>200.5</v>
      </c>
      <c r="E68" s="4">
        <v>170.3</v>
      </c>
      <c r="F68" s="4">
        <v>156.1</v>
      </c>
      <c r="G68" s="4">
        <v>178.7</v>
      </c>
      <c r="H68" s="4">
        <v>167.1</v>
      </c>
      <c r="I68" s="4">
        <v>147.9</v>
      </c>
      <c r="J68" s="4">
        <v>165.4</v>
      </c>
      <c r="K68" s="4">
        <v>114.8</v>
      </c>
      <c r="L68" s="4">
        <v>168.2</v>
      </c>
      <c r="M68" s="4">
        <v>159.30000000000001</v>
      </c>
      <c r="N68" s="4">
        <v>170.4</v>
      </c>
      <c r="O68" s="4">
        <v>160.69999999999999</v>
      </c>
      <c r="P68" s="4">
        <v>191.9</v>
      </c>
      <c r="Q68" s="4">
        <v>161.80000000000001</v>
      </c>
      <c r="R68" s="4">
        <v>152.1</v>
      </c>
      <c r="S68" s="4">
        <v>160.4</v>
      </c>
      <c r="T68" s="4">
        <v>161.6</v>
      </c>
      <c r="U68" s="4">
        <v>159.4</v>
      </c>
      <c r="V68" s="4">
        <v>154.69999999999999</v>
      </c>
      <c r="W68" s="4">
        <v>165.8</v>
      </c>
      <c r="X68" s="4">
        <v>148.9</v>
      </c>
      <c r="Y68" s="4">
        <v>155.80000000000001</v>
      </c>
      <c r="Z68" s="4">
        <v>161.19999999999999</v>
      </c>
      <c r="AA68" s="4">
        <v>158.6</v>
      </c>
      <c r="AB68" s="4">
        <v>156.80000000000001</v>
      </c>
      <c r="AC68" s="4">
        <v>160.4</v>
      </c>
    </row>
    <row r="69" spans="1:29" ht="15" customHeight="1" x14ac:dyDescent="0.3">
      <c r="A69" s="17">
        <v>44348</v>
      </c>
      <c r="B69" s="57">
        <v>71.982647477272721</v>
      </c>
      <c r="C69" s="4">
        <v>146.69999999999999</v>
      </c>
      <c r="D69" s="4">
        <v>202</v>
      </c>
      <c r="E69" s="4">
        <v>180.7</v>
      </c>
      <c r="F69" s="4">
        <v>156.19999999999999</v>
      </c>
      <c r="G69" s="4">
        <v>183.7</v>
      </c>
      <c r="H69" s="4">
        <v>164.6</v>
      </c>
      <c r="I69" s="4">
        <v>155.4</v>
      </c>
      <c r="J69" s="4">
        <v>166</v>
      </c>
      <c r="K69" s="4">
        <v>115.1</v>
      </c>
      <c r="L69" s="4">
        <v>168.5</v>
      </c>
      <c r="M69" s="4">
        <v>160</v>
      </c>
      <c r="N69" s="4">
        <v>172.4</v>
      </c>
      <c r="O69" s="4">
        <v>162.6</v>
      </c>
      <c r="P69" s="4">
        <v>190.8</v>
      </c>
      <c r="Q69" s="4">
        <v>162.19999999999999</v>
      </c>
      <c r="R69" s="4">
        <v>151.80000000000001</v>
      </c>
      <c r="S69" s="4">
        <v>160.69999999999999</v>
      </c>
      <c r="T69" s="4">
        <v>160.5</v>
      </c>
      <c r="U69" s="4">
        <v>159.80000000000001</v>
      </c>
      <c r="V69" s="4">
        <v>154.80000000000001</v>
      </c>
      <c r="W69" s="4">
        <v>166.3</v>
      </c>
      <c r="X69" s="4">
        <v>150.69999999999999</v>
      </c>
      <c r="Y69" s="4">
        <v>154.9</v>
      </c>
      <c r="Z69" s="4">
        <v>161.69999999999999</v>
      </c>
      <c r="AA69" s="4">
        <v>158.80000000000001</v>
      </c>
      <c r="AB69" s="4">
        <v>157.6</v>
      </c>
      <c r="AC69" s="4">
        <v>161.30000000000001</v>
      </c>
    </row>
    <row r="70" spans="1:29" ht="15" customHeight="1" x14ac:dyDescent="0.3">
      <c r="A70" s="17">
        <v>44378</v>
      </c>
      <c r="B70" s="57">
        <v>73.539060523809511</v>
      </c>
      <c r="C70" s="4">
        <v>146.4</v>
      </c>
      <c r="D70" s="4">
        <v>206.8</v>
      </c>
      <c r="E70" s="4">
        <v>182.2</v>
      </c>
      <c r="F70" s="4">
        <v>157.5</v>
      </c>
      <c r="G70" s="4">
        <v>182.1</v>
      </c>
      <c r="H70" s="4">
        <v>163.9</v>
      </c>
      <c r="I70" s="4">
        <v>164.2</v>
      </c>
      <c r="J70" s="4">
        <v>164</v>
      </c>
      <c r="K70" s="4">
        <v>114.5</v>
      </c>
      <c r="L70" s="4">
        <v>168.3</v>
      </c>
      <c r="M70" s="4">
        <v>160.9</v>
      </c>
      <c r="N70" s="4">
        <v>172.2</v>
      </c>
      <c r="O70" s="4">
        <v>164</v>
      </c>
      <c r="P70" s="4">
        <v>191.2</v>
      </c>
      <c r="Q70" s="4">
        <v>162.80000000000001</v>
      </c>
      <c r="R70" s="4">
        <v>153.1</v>
      </c>
      <c r="S70" s="4">
        <v>161.4</v>
      </c>
      <c r="T70" s="4">
        <v>161.5</v>
      </c>
      <c r="U70" s="4">
        <v>160.69999999999999</v>
      </c>
      <c r="V70" s="4">
        <v>155.80000000000001</v>
      </c>
      <c r="W70" s="4">
        <v>167</v>
      </c>
      <c r="X70" s="4">
        <v>153.1</v>
      </c>
      <c r="Y70" s="4">
        <v>155.30000000000001</v>
      </c>
      <c r="Z70" s="4">
        <v>163.19999999999999</v>
      </c>
      <c r="AA70" s="4">
        <v>160.1</v>
      </c>
      <c r="AB70" s="4">
        <v>159</v>
      </c>
      <c r="AC70" s="4">
        <v>162.5</v>
      </c>
    </row>
    <row r="71" spans="1:29" ht="15" customHeight="1" x14ac:dyDescent="0.3">
      <c r="A71" s="17">
        <v>44409</v>
      </c>
      <c r="B71" s="57">
        <v>69.804724424999989</v>
      </c>
      <c r="C71" s="4">
        <v>146.6</v>
      </c>
      <c r="D71" s="4">
        <v>204</v>
      </c>
      <c r="E71" s="4">
        <v>172.8</v>
      </c>
      <c r="F71" s="4">
        <v>158.4</v>
      </c>
      <c r="G71" s="4">
        <v>188</v>
      </c>
      <c r="H71" s="4">
        <v>156.80000000000001</v>
      </c>
      <c r="I71" s="4">
        <v>162.19999999999999</v>
      </c>
      <c r="J71" s="4">
        <v>164.1</v>
      </c>
      <c r="K71" s="4">
        <v>119.7</v>
      </c>
      <c r="L71" s="4">
        <v>168.8</v>
      </c>
      <c r="M71" s="4">
        <v>162.69999999999999</v>
      </c>
      <c r="N71" s="4">
        <v>173.9</v>
      </c>
      <c r="O71" s="4">
        <v>164</v>
      </c>
      <c r="P71" s="4">
        <v>192.1</v>
      </c>
      <c r="Q71" s="4">
        <v>164.5</v>
      </c>
      <c r="R71" s="4">
        <v>155.30000000000001</v>
      </c>
      <c r="S71" s="4">
        <v>163.19999999999999</v>
      </c>
      <c r="T71" s="4">
        <v>162.1</v>
      </c>
      <c r="U71" s="4">
        <v>162.6</v>
      </c>
      <c r="V71" s="4">
        <v>157.5</v>
      </c>
      <c r="W71" s="4">
        <v>168.4</v>
      </c>
      <c r="X71" s="4">
        <v>154</v>
      </c>
      <c r="Y71" s="4">
        <v>157.6</v>
      </c>
      <c r="Z71" s="4">
        <v>163.80000000000001</v>
      </c>
      <c r="AA71" s="4">
        <v>160</v>
      </c>
      <c r="AB71" s="4">
        <v>160</v>
      </c>
      <c r="AC71" s="4">
        <v>163.19999999999999</v>
      </c>
    </row>
    <row r="72" spans="1:29" ht="15" customHeight="1" x14ac:dyDescent="0.3">
      <c r="A72" s="17">
        <v>44440</v>
      </c>
      <c r="B72" s="57">
        <v>73.130738295454549</v>
      </c>
      <c r="C72" s="4">
        <v>146.6</v>
      </c>
      <c r="D72" s="4">
        <v>204</v>
      </c>
      <c r="E72" s="4">
        <v>172.8</v>
      </c>
      <c r="F72" s="4">
        <v>158.4</v>
      </c>
      <c r="G72" s="4">
        <v>188</v>
      </c>
      <c r="H72" s="4">
        <v>156.69999999999999</v>
      </c>
      <c r="I72" s="4">
        <v>162.30000000000001</v>
      </c>
      <c r="J72" s="4">
        <v>164.1</v>
      </c>
      <c r="K72" s="4">
        <v>119.7</v>
      </c>
      <c r="L72" s="4">
        <v>168.8</v>
      </c>
      <c r="M72" s="4">
        <v>162.69999999999999</v>
      </c>
      <c r="N72" s="4">
        <v>173.9</v>
      </c>
      <c r="O72" s="4">
        <v>164</v>
      </c>
      <c r="P72" s="4">
        <v>192.1</v>
      </c>
      <c r="Q72" s="4">
        <v>164.6</v>
      </c>
      <c r="R72" s="4">
        <v>155.30000000000001</v>
      </c>
      <c r="S72" s="4">
        <v>163.30000000000001</v>
      </c>
      <c r="T72" s="4">
        <v>162.1</v>
      </c>
      <c r="U72" s="4">
        <v>162.6</v>
      </c>
      <c r="V72" s="4">
        <v>157.5</v>
      </c>
      <c r="W72" s="4">
        <v>168.4</v>
      </c>
      <c r="X72" s="4">
        <v>154</v>
      </c>
      <c r="Y72" s="4">
        <v>157.69999999999999</v>
      </c>
      <c r="Z72" s="4">
        <v>163.69999999999999</v>
      </c>
      <c r="AA72" s="4">
        <v>160</v>
      </c>
      <c r="AB72" s="4">
        <v>160</v>
      </c>
      <c r="AC72" s="4">
        <v>163.19999999999999</v>
      </c>
    </row>
    <row r="73" spans="1:29" ht="15" customHeight="1" x14ac:dyDescent="0.3">
      <c r="A73" s="17">
        <v>44470</v>
      </c>
      <c r="B73" s="57">
        <v>82.107393785714294</v>
      </c>
      <c r="C73" s="4">
        <v>147.4</v>
      </c>
      <c r="D73" s="4">
        <v>204.6</v>
      </c>
      <c r="E73" s="4">
        <v>171.2</v>
      </c>
      <c r="F73" s="4">
        <v>158.69999999999999</v>
      </c>
      <c r="G73" s="4">
        <v>190.6</v>
      </c>
      <c r="H73" s="4">
        <v>155.69999999999999</v>
      </c>
      <c r="I73" s="4">
        <v>185.3</v>
      </c>
      <c r="J73" s="4">
        <v>165.2</v>
      </c>
      <c r="K73" s="4">
        <v>121.9</v>
      </c>
      <c r="L73" s="4">
        <v>169.3</v>
      </c>
      <c r="M73" s="4">
        <v>163.19999999999999</v>
      </c>
      <c r="N73" s="4">
        <v>174.7</v>
      </c>
      <c r="O73" s="4">
        <v>167.7</v>
      </c>
      <c r="P73" s="4">
        <v>192.7</v>
      </c>
      <c r="Q73" s="4">
        <v>165.7</v>
      </c>
      <c r="R73" s="4">
        <v>156.30000000000001</v>
      </c>
      <c r="S73" s="4">
        <v>164.3</v>
      </c>
      <c r="T73" s="4">
        <v>163.6</v>
      </c>
      <c r="U73" s="4">
        <v>164.2</v>
      </c>
      <c r="V73" s="4">
        <v>158.4</v>
      </c>
      <c r="W73" s="4">
        <v>169.1</v>
      </c>
      <c r="X73" s="4">
        <v>155.69999999999999</v>
      </c>
      <c r="Y73" s="4">
        <v>158.6</v>
      </c>
      <c r="Z73" s="4">
        <v>163.9</v>
      </c>
      <c r="AA73" s="4">
        <v>160.80000000000001</v>
      </c>
      <c r="AB73" s="4">
        <v>161</v>
      </c>
      <c r="AC73" s="4">
        <v>165.5</v>
      </c>
    </row>
    <row r="74" spans="1:29" ht="15" customHeight="1" x14ac:dyDescent="0.3">
      <c r="A74" s="17">
        <v>44501</v>
      </c>
      <c r="B74" s="57">
        <v>80.637301023809528</v>
      </c>
      <c r="C74" s="4">
        <v>148.19999999999999</v>
      </c>
      <c r="D74" s="4">
        <v>201.6</v>
      </c>
      <c r="E74" s="4">
        <v>173</v>
      </c>
      <c r="F74" s="4">
        <v>159.30000000000001</v>
      </c>
      <c r="G74" s="4">
        <v>190.1</v>
      </c>
      <c r="H74" s="4">
        <v>156.5</v>
      </c>
      <c r="I74" s="4">
        <v>199.2</v>
      </c>
      <c r="J74" s="4">
        <v>165.3</v>
      </c>
      <c r="K74" s="4">
        <v>122.4</v>
      </c>
      <c r="L74" s="4">
        <v>169.6</v>
      </c>
      <c r="M74" s="4">
        <v>163.69999999999999</v>
      </c>
      <c r="N74" s="4">
        <v>175.5</v>
      </c>
      <c r="O74" s="4">
        <v>169.7</v>
      </c>
      <c r="P74" s="4">
        <v>192.9</v>
      </c>
      <c r="Q74" s="4">
        <v>167.2</v>
      </c>
      <c r="R74" s="4">
        <v>157.4</v>
      </c>
      <c r="S74" s="4">
        <v>165.8</v>
      </c>
      <c r="T74" s="4">
        <v>164.2</v>
      </c>
      <c r="U74" s="4">
        <v>163.9</v>
      </c>
      <c r="V74" s="4">
        <v>159.30000000000001</v>
      </c>
      <c r="W74" s="4">
        <v>169.9</v>
      </c>
      <c r="X74" s="4">
        <v>154.80000000000001</v>
      </c>
      <c r="Y74" s="4">
        <v>159.80000000000001</v>
      </c>
      <c r="Z74" s="4">
        <v>164.3</v>
      </c>
      <c r="AA74" s="4">
        <v>162.19999999999999</v>
      </c>
      <c r="AB74" s="4">
        <v>161.4</v>
      </c>
      <c r="AC74" s="4">
        <v>166.7</v>
      </c>
    </row>
    <row r="75" spans="1:29" ht="15" customHeight="1" x14ac:dyDescent="0.3">
      <c r="A75" s="17">
        <v>44531</v>
      </c>
      <c r="B75" s="57">
        <v>73.298823523809531</v>
      </c>
      <c r="C75" s="4">
        <v>148.69999999999999</v>
      </c>
      <c r="D75" s="4">
        <v>198.8</v>
      </c>
      <c r="E75" s="4">
        <v>177.9</v>
      </c>
      <c r="F75" s="4">
        <v>159.9</v>
      </c>
      <c r="G75" s="4">
        <v>187.6</v>
      </c>
      <c r="H75" s="4">
        <v>154.9</v>
      </c>
      <c r="I75" s="4">
        <v>188.3</v>
      </c>
      <c r="J75" s="4">
        <v>164.4</v>
      </c>
      <c r="K75" s="4">
        <v>121</v>
      </c>
      <c r="L75" s="4">
        <v>170.5</v>
      </c>
      <c r="M75" s="4">
        <v>164.2</v>
      </c>
      <c r="N75" s="4">
        <v>176.5</v>
      </c>
      <c r="O75" s="4">
        <v>168.2</v>
      </c>
      <c r="P75" s="4">
        <v>192.4</v>
      </c>
      <c r="Q75" s="4">
        <v>168.5</v>
      </c>
      <c r="R75" s="4">
        <v>158.69999999999999</v>
      </c>
      <c r="S75" s="4">
        <v>167</v>
      </c>
      <c r="T75" s="4">
        <v>163.4</v>
      </c>
      <c r="U75" s="4">
        <v>164.1</v>
      </c>
      <c r="V75" s="4">
        <v>160.19999999999999</v>
      </c>
      <c r="W75" s="4">
        <v>170.6</v>
      </c>
      <c r="X75" s="4">
        <v>155.69999999999999</v>
      </c>
      <c r="Y75" s="4">
        <v>160.6</v>
      </c>
      <c r="Z75" s="4">
        <v>164.4</v>
      </c>
      <c r="AA75" s="4">
        <v>162.6</v>
      </c>
      <c r="AB75" s="4">
        <v>162</v>
      </c>
      <c r="AC75" s="4">
        <v>166.2</v>
      </c>
    </row>
    <row r="76" spans="1:29" ht="15" customHeight="1" x14ac:dyDescent="0.3">
      <c r="A76" s="17">
        <v>44562</v>
      </c>
      <c r="B76" s="57">
        <v>84.666318799999985</v>
      </c>
      <c r="C76" s="4">
        <v>149.5</v>
      </c>
      <c r="D76" s="4">
        <v>198.7</v>
      </c>
      <c r="E76" s="4">
        <v>178.8</v>
      </c>
      <c r="F76" s="4">
        <v>160.5</v>
      </c>
      <c r="G76" s="4">
        <v>184.7</v>
      </c>
      <c r="H76" s="4">
        <v>153.69999999999999</v>
      </c>
      <c r="I76" s="4">
        <v>174.3</v>
      </c>
      <c r="J76" s="4">
        <v>163.9</v>
      </c>
      <c r="K76" s="4">
        <v>120</v>
      </c>
      <c r="L76" s="4">
        <v>172.1</v>
      </c>
      <c r="M76" s="4">
        <v>164.3</v>
      </c>
      <c r="N76" s="4">
        <v>177.3</v>
      </c>
      <c r="O76" s="4">
        <v>166.4</v>
      </c>
      <c r="P76" s="4">
        <v>192.2</v>
      </c>
      <c r="Q76" s="4">
        <v>169.9</v>
      </c>
      <c r="R76" s="4">
        <v>160.69999999999999</v>
      </c>
      <c r="S76" s="4">
        <v>168.5</v>
      </c>
      <c r="T76" s="4">
        <v>164.5</v>
      </c>
      <c r="U76" s="4">
        <v>164.2</v>
      </c>
      <c r="V76" s="4">
        <v>161.1</v>
      </c>
      <c r="W76" s="4">
        <v>171.4</v>
      </c>
      <c r="X76" s="4">
        <v>156.5</v>
      </c>
      <c r="Y76" s="4">
        <v>161.19999999999999</v>
      </c>
      <c r="Z76" s="4">
        <v>164.7</v>
      </c>
      <c r="AA76" s="4">
        <v>163</v>
      </c>
      <c r="AB76" s="4">
        <v>162.69999999999999</v>
      </c>
      <c r="AC76" s="4">
        <v>165.7</v>
      </c>
    </row>
    <row r="77" spans="1:29" ht="15" customHeight="1" x14ac:dyDescent="0.3">
      <c r="A77" s="17">
        <v>44593</v>
      </c>
      <c r="B77" s="57">
        <v>94.067715194444446</v>
      </c>
      <c r="C77" s="4">
        <v>150</v>
      </c>
      <c r="D77" s="4">
        <v>200.6</v>
      </c>
      <c r="E77" s="4">
        <v>175.8</v>
      </c>
      <c r="F77" s="4">
        <v>160.69999999999999</v>
      </c>
      <c r="G77" s="4">
        <v>184.9</v>
      </c>
      <c r="H77" s="4">
        <v>153.69999999999999</v>
      </c>
      <c r="I77" s="4">
        <v>169.7</v>
      </c>
      <c r="J77" s="4">
        <v>163.69999999999999</v>
      </c>
      <c r="K77" s="4">
        <v>118.9</v>
      </c>
      <c r="L77" s="4">
        <v>174.3</v>
      </c>
      <c r="M77" s="4">
        <v>164.7</v>
      </c>
      <c r="N77" s="4">
        <v>178</v>
      </c>
      <c r="O77" s="4">
        <v>166.2</v>
      </c>
      <c r="P77" s="4">
        <v>192.8</v>
      </c>
      <c r="Q77" s="4">
        <v>170.8</v>
      </c>
      <c r="R77" s="4">
        <v>162.4</v>
      </c>
      <c r="S77" s="4">
        <v>169.6</v>
      </c>
      <c r="T77" s="4">
        <v>165.5</v>
      </c>
      <c r="U77" s="4">
        <v>165.7</v>
      </c>
      <c r="V77" s="4">
        <v>161.80000000000001</v>
      </c>
      <c r="W77" s="4">
        <v>172.2</v>
      </c>
      <c r="X77" s="4">
        <v>156.9</v>
      </c>
      <c r="Y77" s="4">
        <v>162.1</v>
      </c>
      <c r="Z77" s="4">
        <v>165.4</v>
      </c>
      <c r="AA77" s="4">
        <v>164.4</v>
      </c>
      <c r="AB77" s="4">
        <v>163.5</v>
      </c>
      <c r="AC77" s="4">
        <v>166.1</v>
      </c>
    </row>
    <row r="78" spans="1:29" ht="15" customHeight="1" x14ac:dyDescent="0.3">
      <c r="A78" s="17">
        <v>44621</v>
      </c>
      <c r="B78" s="57">
        <v>112.87479254347826</v>
      </c>
      <c r="C78" s="4">
        <v>151.30000000000001</v>
      </c>
      <c r="D78" s="4">
        <v>210.7</v>
      </c>
      <c r="E78" s="4">
        <v>167.8</v>
      </c>
      <c r="F78" s="4">
        <v>162.19999999999999</v>
      </c>
      <c r="G78" s="4">
        <v>194.6</v>
      </c>
      <c r="H78" s="4">
        <v>157.6</v>
      </c>
      <c r="I78" s="4">
        <v>166.9</v>
      </c>
      <c r="J78" s="4">
        <v>163.9</v>
      </c>
      <c r="K78" s="4">
        <v>118.8</v>
      </c>
      <c r="L78" s="4">
        <v>177.4</v>
      </c>
      <c r="M78" s="4">
        <v>165.3</v>
      </c>
      <c r="N78" s="4">
        <v>179.3</v>
      </c>
      <c r="O78" s="4">
        <v>168.4</v>
      </c>
      <c r="P78" s="4">
        <v>193.7</v>
      </c>
      <c r="Q78" s="4">
        <v>172.1</v>
      </c>
      <c r="R78" s="4">
        <v>164.6</v>
      </c>
      <c r="S78" s="4">
        <v>171.1</v>
      </c>
      <c r="T78" s="4">
        <v>165.3</v>
      </c>
      <c r="U78" s="4">
        <v>167.2</v>
      </c>
      <c r="V78" s="4">
        <v>162.80000000000001</v>
      </c>
      <c r="W78" s="4">
        <v>173</v>
      </c>
      <c r="X78" s="4">
        <v>157.9</v>
      </c>
      <c r="Y78" s="4">
        <v>163.30000000000001</v>
      </c>
      <c r="Z78" s="4">
        <v>166</v>
      </c>
      <c r="AA78" s="4">
        <v>167.2</v>
      </c>
      <c r="AB78" s="4">
        <v>164.6</v>
      </c>
      <c r="AC78" s="4">
        <v>167.7</v>
      </c>
    </row>
    <row r="79" spans="1:29" ht="15" customHeight="1" x14ac:dyDescent="0.3">
      <c r="A79" s="17">
        <v>44652</v>
      </c>
      <c r="B79" s="57">
        <v>102.96599786842103</v>
      </c>
      <c r="C79" s="4">
        <v>152.9</v>
      </c>
      <c r="D79" s="4">
        <v>211.8</v>
      </c>
      <c r="E79" s="4">
        <v>164.5</v>
      </c>
      <c r="F79" s="4">
        <v>163.9</v>
      </c>
      <c r="G79" s="4">
        <v>199.5</v>
      </c>
      <c r="H79" s="4">
        <v>172.6</v>
      </c>
      <c r="I79" s="4">
        <v>166.2</v>
      </c>
      <c r="J79" s="4">
        <v>164.7</v>
      </c>
      <c r="K79" s="4">
        <v>119</v>
      </c>
      <c r="L79" s="4">
        <v>181.3</v>
      </c>
      <c r="M79" s="4">
        <v>166.2</v>
      </c>
      <c r="N79" s="4">
        <v>180.9</v>
      </c>
      <c r="O79" s="4">
        <v>170.8</v>
      </c>
      <c r="P79" s="4">
        <v>193.9</v>
      </c>
      <c r="Q79" s="4">
        <v>173.9</v>
      </c>
      <c r="R79" s="4">
        <v>166.5</v>
      </c>
      <c r="S79" s="4">
        <v>172.8</v>
      </c>
      <c r="T79" s="4">
        <v>167</v>
      </c>
      <c r="U79" s="4">
        <v>172.2</v>
      </c>
      <c r="V79" s="4">
        <v>164</v>
      </c>
      <c r="W79" s="4">
        <v>174</v>
      </c>
      <c r="X79" s="4">
        <v>162.6</v>
      </c>
      <c r="Y79" s="4">
        <v>164.4</v>
      </c>
      <c r="Z79" s="4">
        <v>166.9</v>
      </c>
      <c r="AA79" s="4">
        <v>168.8</v>
      </c>
      <c r="AB79" s="4">
        <v>166.8</v>
      </c>
      <c r="AC79" s="4">
        <v>170.1</v>
      </c>
    </row>
    <row r="80" spans="1:29" ht="15" customHeight="1" x14ac:dyDescent="0.3">
      <c r="A80" s="17">
        <v>44682</v>
      </c>
      <c r="B80" s="57">
        <v>109.50503773684208</v>
      </c>
      <c r="C80" s="4">
        <v>154.1</v>
      </c>
      <c r="D80" s="4">
        <v>217</v>
      </c>
      <c r="E80" s="4">
        <v>162.4</v>
      </c>
      <c r="F80" s="4">
        <v>164.9</v>
      </c>
      <c r="G80" s="4">
        <v>202.4</v>
      </c>
      <c r="H80" s="4">
        <v>171</v>
      </c>
      <c r="I80" s="4">
        <v>174.9</v>
      </c>
      <c r="J80" s="4">
        <v>164.7</v>
      </c>
      <c r="K80" s="4">
        <v>119.7</v>
      </c>
      <c r="L80" s="4">
        <v>184.9</v>
      </c>
      <c r="M80" s="4">
        <v>167.1</v>
      </c>
      <c r="N80" s="4">
        <v>182.5</v>
      </c>
      <c r="O80" s="4">
        <v>173.3</v>
      </c>
      <c r="P80" s="4">
        <v>194.1</v>
      </c>
      <c r="Q80" s="4">
        <v>175.6</v>
      </c>
      <c r="R80" s="4">
        <v>168.4</v>
      </c>
      <c r="S80" s="4">
        <v>174.6</v>
      </c>
      <c r="T80" s="4">
        <v>167.5</v>
      </c>
      <c r="U80" s="4">
        <v>174.6</v>
      </c>
      <c r="V80" s="4">
        <v>165.2</v>
      </c>
      <c r="W80" s="4">
        <v>174.8</v>
      </c>
      <c r="X80" s="4">
        <v>163</v>
      </c>
      <c r="Y80" s="4">
        <v>165.1</v>
      </c>
      <c r="Z80" s="4">
        <v>167.9</v>
      </c>
      <c r="AA80" s="4">
        <v>168.4</v>
      </c>
      <c r="AB80" s="4">
        <v>167.5</v>
      </c>
      <c r="AC80" s="4">
        <v>171.7</v>
      </c>
    </row>
    <row r="81" spans="1:29" ht="15" customHeight="1" x14ac:dyDescent="0.3">
      <c r="A81" s="17">
        <v>44713</v>
      </c>
      <c r="B81" s="57">
        <v>116.01138504999999</v>
      </c>
      <c r="C81" s="4">
        <v>155</v>
      </c>
      <c r="D81" s="4">
        <v>219.4</v>
      </c>
      <c r="E81" s="4">
        <v>170.8</v>
      </c>
      <c r="F81" s="4">
        <v>165.8</v>
      </c>
      <c r="G81" s="4">
        <v>200.9</v>
      </c>
      <c r="H81" s="4">
        <v>169.7</v>
      </c>
      <c r="I81" s="4">
        <v>182.3</v>
      </c>
      <c r="J81" s="4">
        <v>164.3</v>
      </c>
      <c r="K81" s="4">
        <v>119.9</v>
      </c>
      <c r="L81" s="4">
        <v>187.1</v>
      </c>
      <c r="M81" s="4">
        <v>167.9</v>
      </c>
      <c r="N81" s="4">
        <v>183.9</v>
      </c>
      <c r="O81" s="4">
        <v>174.9</v>
      </c>
      <c r="P81" s="4">
        <v>194.3</v>
      </c>
      <c r="Q81" s="4">
        <v>177.1</v>
      </c>
      <c r="R81" s="4">
        <v>169.9</v>
      </c>
      <c r="S81" s="4">
        <v>176</v>
      </c>
      <c r="T81" s="4">
        <v>166.8</v>
      </c>
      <c r="U81" s="4">
        <v>176</v>
      </c>
      <c r="V81" s="4">
        <v>166.4</v>
      </c>
      <c r="W81" s="4">
        <v>175.4</v>
      </c>
      <c r="X81" s="4">
        <v>161.1</v>
      </c>
      <c r="Y81" s="4">
        <v>165.8</v>
      </c>
      <c r="Z81" s="4">
        <v>169</v>
      </c>
      <c r="AA81" s="4">
        <v>169.4</v>
      </c>
      <c r="AB81" s="4">
        <v>167.5</v>
      </c>
      <c r="AC81" s="4">
        <v>172.6</v>
      </c>
    </row>
    <row r="82" spans="1:29" ht="15" customHeight="1" x14ac:dyDescent="0.3">
      <c r="A82" s="17">
        <v>44743</v>
      </c>
      <c r="B82" s="57">
        <v>105.49124737500001</v>
      </c>
      <c r="C82" s="4">
        <v>156.5</v>
      </c>
      <c r="D82" s="4">
        <v>213</v>
      </c>
      <c r="E82" s="4">
        <v>175.2</v>
      </c>
      <c r="F82" s="4">
        <v>166.6</v>
      </c>
      <c r="G82" s="4">
        <v>195.8</v>
      </c>
      <c r="H82" s="4">
        <v>174.2</v>
      </c>
      <c r="I82" s="4">
        <v>182.1</v>
      </c>
      <c r="J82" s="4">
        <v>164.3</v>
      </c>
      <c r="K82" s="4">
        <v>120</v>
      </c>
      <c r="L82" s="4">
        <v>190</v>
      </c>
      <c r="M82" s="4">
        <v>168.4</v>
      </c>
      <c r="N82" s="4">
        <v>185.2</v>
      </c>
      <c r="O82" s="4">
        <v>175</v>
      </c>
      <c r="P82" s="4">
        <v>194.6</v>
      </c>
      <c r="Q82" s="4">
        <v>178.3</v>
      </c>
      <c r="R82" s="4">
        <v>171.3</v>
      </c>
      <c r="S82" s="4">
        <v>177.3</v>
      </c>
      <c r="T82" s="4">
        <v>167.8</v>
      </c>
      <c r="U82" s="4">
        <v>179.6</v>
      </c>
      <c r="V82" s="4">
        <v>167.4</v>
      </c>
      <c r="W82" s="4">
        <v>176.1</v>
      </c>
      <c r="X82" s="4">
        <v>161.6</v>
      </c>
      <c r="Y82" s="4">
        <v>166.3</v>
      </c>
      <c r="Z82" s="4">
        <v>171.4</v>
      </c>
      <c r="AA82" s="4">
        <v>169.7</v>
      </c>
      <c r="AB82" s="4">
        <v>168.4</v>
      </c>
      <c r="AC82" s="4">
        <v>173.4</v>
      </c>
    </row>
    <row r="83" spans="1:29" ht="15" customHeight="1" x14ac:dyDescent="0.3">
      <c r="A83" s="17">
        <v>44774</v>
      </c>
      <c r="B83" s="57">
        <v>97.404465428571427</v>
      </c>
      <c r="C83" s="4">
        <v>160.30000000000001</v>
      </c>
      <c r="D83" s="4">
        <v>206.5</v>
      </c>
      <c r="E83" s="4">
        <v>169.2</v>
      </c>
      <c r="F83" s="4">
        <v>168.1</v>
      </c>
      <c r="G83" s="4">
        <v>192.4</v>
      </c>
      <c r="H83" s="4">
        <v>172.9</v>
      </c>
      <c r="I83" s="4">
        <v>186.7</v>
      </c>
      <c r="J83" s="4">
        <v>167.2</v>
      </c>
      <c r="K83" s="4">
        <v>120.9</v>
      </c>
      <c r="L83" s="4">
        <v>193.6</v>
      </c>
      <c r="M83" s="4">
        <v>168.8</v>
      </c>
      <c r="N83" s="4">
        <v>186.3</v>
      </c>
      <c r="O83" s="4">
        <v>176.3</v>
      </c>
      <c r="P83" s="4">
        <v>195</v>
      </c>
      <c r="Q83" s="4">
        <v>179.5</v>
      </c>
      <c r="R83" s="4">
        <v>172.7</v>
      </c>
      <c r="S83" s="4">
        <v>178.5</v>
      </c>
      <c r="T83" s="4">
        <v>169</v>
      </c>
      <c r="U83" s="4">
        <v>178.8</v>
      </c>
      <c r="V83" s="4">
        <v>168.5</v>
      </c>
      <c r="W83" s="4">
        <v>176.8</v>
      </c>
      <c r="X83" s="4">
        <v>161.9</v>
      </c>
      <c r="Y83" s="4">
        <v>166.9</v>
      </c>
      <c r="Z83" s="4">
        <v>172.3</v>
      </c>
      <c r="AA83" s="4">
        <v>171.2</v>
      </c>
      <c r="AB83" s="4">
        <v>169.1</v>
      </c>
      <c r="AC83" s="4">
        <v>174.3</v>
      </c>
    </row>
    <row r="84" spans="1:29" ht="15" customHeight="1" x14ac:dyDescent="0.3">
      <c r="A84" s="17">
        <v>44805</v>
      </c>
      <c r="B84" s="57">
        <v>90.706344809523813</v>
      </c>
      <c r="C84" s="4">
        <v>163.5</v>
      </c>
      <c r="D84" s="4">
        <v>209.2</v>
      </c>
      <c r="E84" s="4">
        <v>169.7</v>
      </c>
      <c r="F84" s="4">
        <v>169.7</v>
      </c>
      <c r="G84" s="4">
        <v>188.7</v>
      </c>
      <c r="H84" s="4">
        <v>165.7</v>
      </c>
      <c r="I84" s="4">
        <v>191.8</v>
      </c>
      <c r="J84" s="4">
        <v>169.1</v>
      </c>
      <c r="K84" s="4">
        <v>121.6</v>
      </c>
      <c r="L84" s="4">
        <v>197.3</v>
      </c>
      <c r="M84" s="4">
        <v>169.4</v>
      </c>
      <c r="N84" s="4">
        <v>187.4</v>
      </c>
      <c r="O84" s="4">
        <v>177.8</v>
      </c>
      <c r="P84" s="4">
        <v>195.9</v>
      </c>
      <c r="Q84" s="4">
        <v>180.9</v>
      </c>
      <c r="R84" s="4">
        <v>174.3</v>
      </c>
      <c r="S84" s="4">
        <v>179.9</v>
      </c>
      <c r="T84" s="4">
        <v>169.5</v>
      </c>
      <c r="U84" s="4">
        <v>179.5</v>
      </c>
      <c r="V84" s="4">
        <v>169.5</v>
      </c>
      <c r="W84" s="4">
        <v>177.8</v>
      </c>
      <c r="X84" s="4">
        <v>162.30000000000001</v>
      </c>
      <c r="Y84" s="4">
        <v>167.6</v>
      </c>
      <c r="Z84" s="4">
        <v>173.1</v>
      </c>
      <c r="AA84" s="4">
        <v>170.9</v>
      </c>
      <c r="AB84" s="4">
        <v>169.7</v>
      </c>
      <c r="AC84" s="4">
        <v>175.3</v>
      </c>
    </row>
    <row r="85" spans="1:29" ht="15" customHeight="1" x14ac:dyDescent="0.3">
      <c r="A85" s="17">
        <v>44835</v>
      </c>
      <c r="B85" s="57">
        <v>91.698948700000003</v>
      </c>
      <c r="C85" s="4">
        <v>165.2</v>
      </c>
      <c r="D85" s="4">
        <v>210.9</v>
      </c>
      <c r="E85" s="4">
        <v>170.9</v>
      </c>
      <c r="F85" s="4">
        <v>170.9</v>
      </c>
      <c r="G85" s="4">
        <v>186.5</v>
      </c>
      <c r="H85" s="4">
        <v>163.80000000000001</v>
      </c>
      <c r="I85" s="4">
        <v>199.7</v>
      </c>
      <c r="J85" s="4">
        <v>169.8</v>
      </c>
      <c r="K85" s="4">
        <v>121.9</v>
      </c>
      <c r="L85" s="4">
        <v>199.9</v>
      </c>
      <c r="M85" s="4">
        <v>169.9</v>
      </c>
      <c r="N85" s="4">
        <v>188.3</v>
      </c>
      <c r="O85" s="4">
        <v>179.6</v>
      </c>
      <c r="P85" s="4">
        <v>196.3</v>
      </c>
      <c r="Q85" s="4">
        <v>181.9</v>
      </c>
      <c r="R85" s="4">
        <v>175.3</v>
      </c>
      <c r="S85" s="4">
        <v>181</v>
      </c>
      <c r="T85" s="4">
        <v>171.2</v>
      </c>
      <c r="U85" s="4">
        <v>180.5</v>
      </c>
      <c r="V85" s="4">
        <v>170.4</v>
      </c>
      <c r="W85" s="4">
        <v>178.7</v>
      </c>
      <c r="X85" s="4">
        <v>162.9</v>
      </c>
      <c r="Y85" s="4">
        <v>168.2</v>
      </c>
      <c r="Z85" s="4">
        <v>173.4</v>
      </c>
      <c r="AA85" s="4">
        <v>172.1</v>
      </c>
      <c r="AB85" s="4">
        <v>170.5</v>
      </c>
      <c r="AC85" s="4">
        <v>176.7</v>
      </c>
    </row>
    <row r="86" spans="1:29" ht="15" customHeight="1" x14ac:dyDescent="0.3">
      <c r="A86" s="17">
        <v>44866</v>
      </c>
      <c r="B86" s="57">
        <v>87.552266068181822</v>
      </c>
      <c r="C86" s="4">
        <v>167.4</v>
      </c>
      <c r="D86" s="4">
        <v>209.4</v>
      </c>
      <c r="E86" s="4">
        <v>181.4</v>
      </c>
      <c r="F86" s="4">
        <v>172.3</v>
      </c>
      <c r="G86" s="4">
        <v>188.9</v>
      </c>
      <c r="H86" s="4">
        <v>160.69999999999999</v>
      </c>
      <c r="I86" s="4">
        <v>183.1</v>
      </c>
      <c r="J86" s="4">
        <v>170.5</v>
      </c>
      <c r="K86" s="4">
        <v>122.1</v>
      </c>
      <c r="L86" s="4">
        <v>202.8</v>
      </c>
      <c r="M86" s="4">
        <v>170.4</v>
      </c>
      <c r="N86" s="4">
        <v>189.5</v>
      </c>
      <c r="O86" s="4">
        <v>178.3</v>
      </c>
      <c r="P86" s="4">
        <v>196.9</v>
      </c>
      <c r="Q86" s="4">
        <v>183.1</v>
      </c>
      <c r="R86" s="4">
        <v>176.2</v>
      </c>
      <c r="S86" s="4">
        <v>182.1</v>
      </c>
      <c r="T86" s="4">
        <v>171.8</v>
      </c>
      <c r="U86" s="4">
        <v>181.3</v>
      </c>
      <c r="V86" s="4">
        <v>171.4</v>
      </c>
      <c r="W86" s="4">
        <v>179.8</v>
      </c>
      <c r="X86" s="4">
        <v>163</v>
      </c>
      <c r="Y86" s="4">
        <v>168.5</v>
      </c>
      <c r="Z86" s="4">
        <v>173.7</v>
      </c>
      <c r="AA86" s="4">
        <v>173.6</v>
      </c>
      <c r="AB86" s="4">
        <v>171.1</v>
      </c>
      <c r="AC86" s="4">
        <v>176.5</v>
      </c>
    </row>
    <row r="87" spans="1:29" ht="15" customHeight="1" x14ac:dyDescent="0.3">
      <c r="A87" s="17">
        <v>44896</v>
      </c>
      <c r="B87" s="57">
        <v>78.100942275000008</v>
      </c>
      <c r="C87" s="4">
        <v>169.2</v>
      </c>
      <c r="D87" s="4">
        <v>209</v>
      </c>
      <c r="E87" s="4">
        <v>190.2</v>
      </c>
      <c r="F87" s="4">
        <v>173.6</v>
      </c>
      <c r="G87" s="4">
        <v>188.5</v>
      </c>
      <c r="H87" s="4">
        <v>158</v>
      </c>
      <c r="I87" s="4">
        <v>159.9</v>
      </c>
      <c r="J87" s="4">
        <v>170.8</v>
      </c>
      <c r="K87" s="4">
        <v>121.8</v>
      </c>
      <c r="L87" s="4">
        <v>205.2</v>
      </c>
      <c r="M87" s="4">
        <v>171</v>
      </c>
      <c r="N87" s="4">
        <v>190.3</v>
      </c>
      <c r="O87" s="4">
        <v>175.9</v>
      </c>
      <c r="P87" s="4">
        <v>197.3</v>
      </c>
      <c r="Q87" s="4">
        <v>184</v>
      </c>
      <c r="R87" s="4">
        <v>177</v>
      </c>
      <c r="S87" s="4">
        <v>183</v>
      </c>
      <c r="T87" s="4">
        <v>170.7</v>
      </c>
      <c r="U87" s="4">
        <v>182</v>
      </c>
      <c r="V87" s="4">
        <v>172.1</v>
      </c>
      <c r="W87" s="4">
        <v>181.1</v>
      </c>
      <c r="X87" s="4">
        <v>163.4</v>
      </c>
      <c r="Y87" s="4">
        <v>168.9</v>
      </c>
      <c r="Z87" s="4">
        <v>174.1</v>
      </c>
      <c r="AA87" s="4">
        <v>175.8</v>
      </c>
      <c r="AB87" s="4">
        <v>172</v>
      </c>
      <c r="AC87" s="4">
        <v>175.7</v>
      </c>
    </row>
    <row r="88" spans="1:29" ht="15" customHeight="1" x14ac:dyDescent="0.3">
      <c r="A88" s="17">
        <v>44927</v>
      </c>
      <c r="B88" s="57">
        <v>80.922269684210534</v>
      </c>
      <c r="C88" s="4">
        <v>173.8</v>
      </c>
      <c r="D88" s="4">
        <v>210.7</v>
      </c>
      <c r="E88" s="4">
        <v>194.5</v>
      </c>
      <c r="F88" s="4">
        <v>174.6</v>
      </c>
      <c r="G88" s="4">
        <v>187.2</v>
      </c>
      <c r="H88" s="4">
        <v>158.30000000000001</v>
      </c>
      <c r="I88" s="4">
        <v>153.9</v>
      </c>
      <c r="J88" s="4">
        <v>170.9</v>
      </c>
      <c r="K88" s="4">
        <v>121.1</v>
      </c>
      <c r="L88" s="4">
        <v>208.4</v>
      </c>
      <c r="M88" s="4">
        <v>171.4</v>
      </c>
      <c r="N88" s="4">
        <v>191.2</v>
      </c>
      <c r="O88" s="4">
        <v>176.7</v>
      </c>
      <c r="P88" s="4">
        <v>198.2</v>
      </c>
      <c r="Q88" s="4">
        <v>184.9</v>
      </c>
      <c r="R88" s="4">
        <v>177.6</v>
      </c>
      <c r="S88" s="4">
        <v>183.8</v>
      </c>
      <c r="T88" s="4">
        <v>172.1</v>
      </c>
      <c r="U88" s="4">
        <v>182</v>
      </c>
      <c r="V88" s="4">
        <v>172.9</v>
      </c>
      <c r="W88" s="4">
        <v>182.3</v>
      </c>
      <c r="X88" s="4">
        <v>163.6</v>
      </c>
      <c r="Y88" s="4">
        <v>169.5</v>
      </c>
      <c r="Z88" s="4">
        <v>174.3</v>
      </c>
      <c r="AA88" s="4">
        <v>178.6</v>
      </c>
      <c r="AB88" s="4">
        <v>172.8</v>
      </c>
      <c r="AC88" s="4">
        <v>176.5</v>
      </c>
    </row>
    <row r="89" spans="1:29" ht="15" customHeight="1" x14ac:dyDescent="0.3">
      <c r="A89" s="17">
        <v>44958</v>
      </c>
      <c r="B89" s="57">
        <v>82.278706675000009</v>
      </c>
      <c r="C89" s="4">
        <v>174.4</v>
      </c>
      <c r="D89" s="4">
        <v>207.7</v>
      </c>
      <c r="E89" s="4">
        <v>175.2</v>
      </c>
      <c r="F89" s="4">
        <v>177.3</v>
      </c>
      <c r="G89" s="4">
        <v>179.3</v>
      </c>
      <c r="H89" s="4">
        <v>169.5</v>
      </c>
      <c r="I89" s="4">
        <v>152.69999999999999</v>
      </c>
      <c r="J89" s="4">
        <v>171</v>
      </c>
      <c r="K89" s="4">
        <v>120</v>
      </c>
      <c r="L89" s="4">
        <v>209.7</v>
      </c>
      <c r="M89" s="4">
        <v>172.3</v>
      </c>
      <c r="N89" s="4">
        <v>193</v>
      </c>
      <c r="O89" s="4">
        <v>177</v>
      </c>
      <c r="P89" s="4">
        <v>199.5</v>
      </c>
      <c r="Q89" s="4">
        <v>186.2</v>
      </c>
      <c r="R89" s="4">
        <v>178.7</v>
      </c>
      <c r="S89" s="4">
        <v>185.1</v>
      </c>
      <c r="T89" s="4">
        <v>173.5</v>
      </c>
      <c r="U89" s="4">
        <v>182.1</v>
      </c>
      <c r="V89" s="4">
        <v>174.2</v>
      </c>
      <c r="W89" s="4">
        <v>184.4</v>
      </c>
      <c r="X89" s="4">
        <v>164.2</v>
      </c>
      <c r="Y89" s="4">
        <v>170.3</v>
      </c>
      <c r="Z89" s="4">
        <v>175</v>
      </c>
      <c r="AA89" s="4">
        <v>181</v>
      </c>
      <c r="AB89" s="4">
        <v>174.1</v>
      </c>
      <c r="AC89" s="4">
        <v>177.2</v>
      </c>
    </row>
    <row r="90" spans="1:29" ht="15" customHeight="1" x14ac:dyDescent="0.3">
      <c r="A90" s="17">
        <v>44986</v>
      </c>
      <c r="B90" s="57">
        <v>78.539480282608693</v>
      </c>
      <c r="C90" s="4">
        <v>174.4</v>
      </c>
      <c r="D90" s="4">
        <v>207.7</v>
      </c>
      <c r="E90" s="4">
        <v>175.2</v>
      </c>
      <c r="F90" s="4">
        <v>177.3</v>
      </c>
      <c r="G90" s="4">
        <v>179.2</v>
      </c>
      <c r="H90" s="4">
        <v>169.5</v>
      </c>
      <c r="I90" s="4">
        <v>152.80000000000001</v>
      </c>
      <c r="J90" s="4">
        <v>171.1</v>
      </c>
      <c r="K90" s="4">
        <v>120</v>
      </c>
      <c r="L90" s="4">
        <v>209.7</v>
      </c>
      <c r="M90" s="4">
        <v>172.3</v>
      </c>
      <c r="N90" s="4">
        <v>193</v>
      </c>
      <c r="O90" s="4">
        <v>177</v>
      </c>
      <c r="P90" s="4">
        <v>199.5</v>
      </c>
      <c r="Q90" s="4">
        <v>186.1</v>
      </c>
      <c r="R90" s="4">
        <v>178.7</v>
      </c>
      <c r="S90" s="4">
        <v>185.1</v>
      </c>
      <c r="T90" s="4">
        <v>173.5</v>
      </c>
      <c r="U90" s="4">
        <v>181.9</v>
      </c>
      <c r="V90" s="4">
        <v>174.2</v>
      </c>
      <c r="W90" s="4">
        <v>184.4</v>
      </c>
      <c r="X90" s="4">
        <v>164.2</v>
      </c>
      <c r="Y90" s="4">
        <v>170.3</v>
      </c>
      <c r="Z90" s="4">
        <v>175</v>
      </c>
      <c r="AA90" s="4">
        <v>181</v>
      </c>
      <c r="AB90" s="4">
        <v>174.1</v>
      </c>
      <c r="AC90" s="4">
        <v>177.2</v>
      </c>
    </row>
    <row r="91" spans="1:29" ht="15" customHeight="1" x14ac:dyDescent="0.3">
      <c r="A91" s="17">
        <v>45017</v>
      </c>
      <c r="B91" s="57">
        <v>83.755358416666667</v>
      </c>
      <c r="C91" s="4">
        <v>173.8</v>
      </c>
      <c r="D91" s="4">
        <v>209.3</v>
      </c>
      <c r="E91" s="4">
        <v>169.6</v>
      </c>
      <c r="F91" s="4">
        <v>178.4</v>
      </c>
      <c r="G91" s="4">
        <v>174.9</v>
      </c>
      <c r="H91" s="4">
        <v>176.3</v>
      </c>
      <c r="I91" s="4">
        <v>155.4</v>
      </c>
      <c r="J91" s="4">
        <v>173.4</v>
      </c>
      <c r="K91" s="4">
        <v>121.3</v>
      </c>
      <c r="L91" s="4">
        <v>212.9</v>
      </c>
      <c r="M91" s="4">
        <v>172.9</v>
      </c>
      <c r="N91" s="4">
        <v>193.5</v>
      </c>
      <c r="O91" s="4">
        <v>177.9</v>
      </c>
      <c r="P91" s="4">
        <v>200.6</v>
      </c>
      <c r="Q91" s="4">
        <v>186.9</v>
      </c>
      <c r="R91" s="4">
        <v>179.2</v>
      </c>
      <c r="S91" s="4">
        <v>185.7</v>
      </c>
      <c r="T91" s="4">
        <v>175.2</v>
      </c>
      <c r="U91" s="4">
        <v>181.7</v>
      </c>
      <c r="V91" s="4">
        <v>174.6</v>
      </c>
      <c r="W91" s="4">
        <v>185</v>
      </c>
      <c r="X91" s="4">
        <v>164.5</v>
      </c>
      <c r="Y91" s="4">
        <v>170.7</v>
      </c>
      <c r="Z91" s="4">
        <v>176.4</v>
      </c>
      <c r="AA91" s="4">
        <v>184</v>
      </c>
      <c r="AB91" s="4">
        <v>175</v>
      </c>
      <c r="AC91" s="4">
        <v>178.1</v>
      </c>
    </row>
    <row r="92" spans="1:29" ht="15" customHeight="1" x14ac:dyDescent="0.3">
      <c r="A92" s="17">
        <v>45047</v>
      </c>
      <c r="B92" s="57">
        <v>74.981547824999993</v>
      </c>
      <c r="C92" s="4">
        <v>173.7</v>
      </c>
      <c r="D92" s="4">
        <v>214.3</v>
      </c>
      <c r="E92" s="4">
        <v>173.2</v>
      </c>
      <c r="F92" s="4">
        <v>179.5</v>
      </c>
      <c r="G92" s="4">
        <v>170</v>
      </c>
      <c r="H92" s="4">
        <v>172.2</v>
      </c>
      <c r="I92" s="4">
        <v>161</v>
      </c>
      <c r="J92" s="4">
        <v>175.6</v>
      </c>
      <c r="K92" s="4">
        <v>122.7</v>
      </c>
      <c r="L92" s="4">
        <v>218</v>
      </c>
      <c r="M92" s="4">
        <v>173.4</v>
      </c>
      <c r="N92" s="4">
        <v>194.2</v>
      </c>
      <c r="O92" s="4">
        <v>179.1</v>
      </c>
      <c r="P92" s="4">
        <v>201</v>
      </c>
      <c r="Q92" s="4">
        <v>187.3</v>
      </c>
      <c r="R92" s="4">
        <v>179.7</v>
      </c>
      <c r="S92" s="4">
        <v>186.2</v>
      </c>
      <c r="T92" s="4">
        <v>175.6</v>
      </c>
      <c r="U92" s="4">
        <v>182.8</v>
      </c>
      <c r="V92" s="4">
        <v>175.2</v>
      </c>
      <c r="W92" s="4">
        <v>185.7</v>
      </c>
      <c r="X92" s="4">
        <v>164.8</v>
      </c>
      <c r="Y92" s="4">
        <v>171.2</v>
      </c>
      <c r="Z92" s="4">
        <v>177.1</v>
      </c>
      <c r="AA92" s="4">
        <v>185.2</v>
      </c>
      <c r="AB92" s="4">
        <v>175.7</v>
      </c>
      <c r="AC92" s="4">
        <v>179.1</v>
      </c>
    </row>
    <row r="96" spans="1:29" ht="15" customHeight="1" x14ac:dyDescent="0.3">
      <c r="G96" s="75" t="s">
        <v>33</v>
      </c>
    </row>
    <row r="97" spans="1:29" ht="15" customHeight="1" x14ac:dyDescent="0.3">
      <c r="G97" s="75"/>
    </row>
    <row r="99" spans="1:29" ht="15" customHeight="1" x14ac:dyDescent="0.3">
      <c r="A99" t="s">
        <v>2</v>
      </c>
      <c r="B99" t="s">
        <v>198</v>
      </c>
      <c r="C99" s="52" t="s">
        <v>3</v>
      </c>
      <c r="D99" s="52" t="s">
        <v>4</v>
      </c>
      <c r="E99" s="52" t="s">
        <v>5</v>
      </c>
      <c r="F99" s="52" t="s">
        <v>6</v>
      </c>
      <c r="G99" s="52" t="s">
        <v>7</v>
      </c>
      <c r="H99" s="52" t="s">
        <v>8</v>
      </c>
      <c r="I99" s="52" t="s">
        <v>9</v>
      </c>
      <c r="J99" s="52" t="s">
        <v>10</v>
      </c>
      <c r="K99" s="52" t="s">
        <v>11</v>
      </c>
      <c r="L99" s="52" t="s">
        <v>12</v>
      </c>
      <c r="M99" s="52" t="s">
        <v>13</v>
      </c>
      <c r="N99" s="52" t="s">
        <v>14</v>
      </c>
      <c r="O99" s="52" t="s">
        <v>15</v>
      </c>
      <c r="P99" s="52" t="s">
        <v>16</v>
      </c>
      <c r="Q99" s="52" t="s">
        <v>17</v>
      </c>
      <c r="R99" s="52" t="s">
        <v>18</v>
      </c>
      <c r="S99" s="52" t="s">
        <v>19</v>
      </c>
      <c r="T99" s="52" t="s">
        <v>20</v>
      </c>
      <c r="U99" s="52" t="s">
        <v>21</v>
      </c>
      <c r="V99" s="52" t="s">
        <v>22</v>
      </c>
      <c r="W99" s="52" t="s">
        <v>23</v>
      </c>
      <c r="X99" s="52" t="s">
        <v>24</v>
      </c>
      <c r="Y99" s="52" t="s">
        <v>25</v>
      </c>
      <c r="Z99" s="52" t="s">
        <v>26</v>
      </c>
      <c r="AA99" s="52" t="s">
        <v>27</v>
      </c>
      <c r="AB99" s="52" t="s">
        <v>28</v>
      </c>
      <c r="AC99" s="52" t="s">
        <v>29</v>
      </c>
    </row>
    <row r="100" spans="1:29" ht="15" customHeight="1" x14ac:dyDescent="0.3">
      <c r="A100" s="17">
        <v>44287</v>
      </c>
      <c r="B100" s="58">
        <v>63.396976500000008</v>
      </c>
      <c r="C100" s="4">
        <v>147.6</v>
      </c>
      <c r="D100" s="4">
        <v>202.5</v>
      </c>
      <c r="E100" s="4">
        <v>166.4</v>
      </c>
      <c r="F100" s="4">
        <v>156</v>
      </c>
      <c r="G100" s="4">
        <v>161.4</v>
      </c>
      <c r="H100" s="4">
        <v>168.8</v>
      </c>
      <c r="I100" s="4">
        <v>161.6</v>
      </c>
      <c r="J100" s="4">
        <v>162.80000000000001</v>
      </c>
      <c r="K100" s="4">
        <v>114.8</v>
      </c>
      <c r="L100" s="4">
        <v>162.80000000000001</v>
      </c>
      <c r="M100" s="4">
        <v>151.5</v>
      </c>
      <c r="N100" s="4">
        <v>171.4</v>
      </c>
      <c r="O100" s="4">
        <v>162</v>
      </c>
      <c r="P100" s="4">
        <v>194.4</v>
      </c>
      <c r="Q100" s="4">
        <v>155.9</v>
      </c>
      <c r="R100" s="4">
        <v>139.30000000000001</v>
      </c>
      <c r="S100" s="4">
        <v>153.4</v>
      </c>
      <c r="T100" s="4">
        <v>161.4</v>
      </c>
      <c r="U100" s="4">
        <v>154.9</v>
      </c>
      <c r="V100" s="4">
        <v>147.6</v>
      </c>
      <c r="W100" s="4">
        <v>157.5</v>
      </c>
      <c r="X100" s="4">
        <v>142.1</v>
      </c>
      <c r="Y100" s="4">
        <v>149.1</v>
      </c>
      <c r="Z100" s="4">
        <v>157.6</v>
      </c>
      <c r="AA100" s="4">
        <v>156.6</v>
      </c>
      <c r="AB100" s="4">
        <v>150.5</v>
      </c>
      <c r="AC100" s="4">
        <v>158</v>
      </c>
    </row>
    <row r="101" spans="1:29" ht="15" customHeight="1" x14ac:dyDescent="0.3">
      <c r="A101" s="17">
        <v>44317</v>
      </c>
      <c r="B101" s="58">
        <v>66.953084852941174</v>
      </c>
      <c r="C101" s="4">
        <v>148.80000000000001</v>
      </c>
      <c r="D101" s="4">
        <v>204.3</v>
      </c>
      <c r="E101" s="4">
        <v>173</v>
      </c>
      <c r="F101" s="4">
        <v>156.5</v>
      </c>
      <c r="G101" s="4">
        <v>168.8</v>
      </c>
      <c r="H101" s="4">
        <v>172.5</v>
      </c>
      <c r="I101" s="4">
        <v>166.5</v>
      </c>
      <c r="J101" s="4">
        <v>165.9</v>
      </c>
      <c r="K101" s="4">
        <v>115.9</v>
      </c>
      <c r="L101" s="4">
        <v>165.2</v>
      </c>
      <c r="M101" s="4">
        <v>152</v>
      </c>
      <c r="N101" s="4">
        <v>171.1</v>
      </c>
      <c r="O101" s="4">
        <v>164.2</v>
      </c>
      <c r="P101" s="4">
        <v>198.2</v>
      </c>
      <c r="Q101" s="4">
        <v>156.5</v>
      </c>
      <c r="R101" s="4">
        <v>140.19999999999999</v>
      </c>
      <c r="S101" s="4">
        <v>154.1</v>
      </c>
      <c r="T101" s="4">
        <v>161.6</v>
      </c>
      <c r="U101" s="4">
        <v>155.5</v>
      </c>
      <c r="V101" s="4">
        <v>150.1</v>
      </c>
      <c r="W101" s="4">
        <v>160.4</v>
      </c>
      <c r="X101" s="4">
        <v>145</v>
      </c>
      <c r="Y101" s="4">
        <v>152.6</v>
      </c>
      <c r="Z101" s="4">
        <v>156.6</v>
      </c>
      <c r="AA101" s="4">
        <v>157.5</v>
      </c>
      <c r="AB101" s="4">
        <v>152.30000000000001</v>
      </c>
      <c r="AC101" s="4">
        <v>159.5</v>
      </c>
    </row>
    <row r="102" spans="1:29" ht="15" customHeight="1" x14ac:dyDescent="0.3">
      <c r="A102" s="17">
        <v>44348</v>
      </c>
      <c r="B102" s="58">
        <v>71.982647477272721</v>
      </c>
      <c r="C102" s="4">
        <v>149.19999999999999</v>
      </c>
      <c r="D102" s="4">
        <v>205.5</v>
      </c>
      <c r="E102" s="4">
        <v>182.8</v>
      </c>
      <c r="F102" s="4">
        <v>156.5</v>
      </c>
      <c r="G102" s="4">
        <v>172.2</v>
      </c>
      <c r="H102" s="4">
        <v>171.5</v>
      </c>
      <c r="I102" s="4">
        <v>176.2</v>
      </c>
      <c r="J102" s="4">
        <v>166.9</v>
      </c>
      <c r="K102" s="4">
        <v>116.1</v>
      </c>
      <c r="L102" s="4">
        <v>165.5</v>
      </c>
      <c r="M102" s="4">
        <v>152.30000000000001</v>
      </c>
      <c r="N102" s="4">
        <v>173.3</v>
      </c>
      <c r="O102" s="4">
        <v>166.2</v>
      </c>
      <c r="P102" s="4">
        <v>195.6</v>
      </c>
      <c r="Q102" s="4">
        <v>157.30000000000001</v>
      </c>
      <c r="R102" s="4">
        <v>140.5</v>
      </c>
      <c r="S102" s="4">
        <v>154.80000000000001</v>
      </c>
      <c r="T102" s="4">
        <v>160.5</v>
      </c>
      <c r="U102" s="4">
        <v>156.1</v>
      </c>
      <c r="V102" s="4">
        <v>149.80000000000001</v>
      </c>
      <c r="W102" s="4">
        <v>160.80000000000001</v>
      </c>
      <c r="X102" s="4">
        <v>147.5</v>
      </c>
      <c r="Y102" s="4">
        <v>150.69999999999999</v>
      </c>
      <c r="Z102" s="4">
        <v>158.1</v>
      </c>
      <c r="AA102" s="4">
        <v>158</v>
      </c>
      <c r="AB102" s="4">
        <v>153.4</v>
      </c>
      <c r="AC102" s="4">
        <v>160.4</v>
      </c>
    </row>
    <row r="103" spans="1:29" ht="15" customHeight="1" x14ac:dyDescent="0.3">
      <c r="A103" s="17">
        <v>44378</v>
      </c>
      <c r="B103" s="58">
        <v>73.539060523809511</v>
      </c>
      <c r="C103" s="4">
        <v>149.1</v>
      </c>
      <c r="D103" s="4">
        <v>210.9</v>
      </c>
      <c r="E103" s="4">
        <v>185</v>
      </c>
      <c r="F103" s="4">
        <v>158.19999999999999</v>
      </c>
      <c r="G103" s="4">
        <v>170.6</v>
      </c>
      <c r="H103" s="4">
        <v>170.9</v>
      </c>
      <c r="I103" s="4">
        <v>186.4</v>
      </c>
      <c r="J103" s="4">
        <v>164.7</v>
      </c>
      <c r="K103" s="4">
        <v>115.7</v>
      </c>
      <c r="L103" s="4">
        <v>165.5</v>
      </c>
      <c r="M103" s="4">
        <v>153.4</v>
      </c>
      <c r="N103" s="4">
        <v>173.5</v>
      </c>
      <c r="O103" s="4">
        <v>167.9</v>
      </c>
      <c r="P103" s="4">
        <v>195.5</v>
      </c>
      <c r="Q103" s="4">
        <v>157.9</v>
      </c>
      <c r="R103" s="4">
        <v>141.9</v>
      </c>
      <c r="S103" s="4">
        <v>155.5</v>
      </c>
      <c r="T103" s="4">
        <v>161.5</v>
      </c>
      <c r="U103" s="4">
        <v>157.69999999999999</v>
      </c>
      <c r="V103" s="4">
        <v>150.69999999999999</v>
      </c>
      <c r="W103" s="4">
        <v>161.5</v>
      </c>
      <c r="X103" s="4">
        <v>149.5</v>
      </c>
      <c r="Y103" s="4">
        <v>151.19999999999999</v>
      </c>
      <c r="Z103" s="4">
        <v>160.30000000000001</v>
      </c>
      <c r="AA103" s="4">
        <v>159.6</v>
      </c>
      <c r="AB103" s="4">
        <v>155</v>
      </c>
      <c r="AC103" s="4">
        <v>161.80000000000001</v>
      </c>
    </row>
    <row r="104" spans="1:29" ht="15" customHeight="1" x14ac:dyDescent="0.3">
      <c r="A104" s="17">
        <v>44409</v>
      </c>
      <c r="B104" s="58">
        <v>69.804724424999989</v>
      </c>
      <c r="C104" s="4">
        <v>149.30000000000001</v>
      </c>
      <c r="D104" s="4">
        <v>207.4</v>
      </c>
      <c r="E104" s="4">
        <v>174.1</v>
      </c>
      <c r="F104" s="4">
        <v>159.19999999999999</v>
      </c>
      <c r="G104" s="4">
        <v>175</v>
      </c>
      <c r="H104" s="4">
        <v>161.30000000000001</v>
      </c>
      <c r="I104" s="4">
        <v>183.3</v>
      </c>
      <c r="J104" s="4">
        <v>164.5</v>
      </c>
      <c r="K104" s="4">
        <v>120.4</v>
      </c>
      <c r="L104" s="4">
        <v>166.2</v>
      </c>
      <c r="M104" s="4">
        <v>154.80000000000001</v>
      </c>
      <c r="N104" s="4">
        <v>175.1</v>
      </c>
      <c r="O104" s="4">
        <v>167.3</v>
      </c>
      <c r="P104" s="4">
        <v>196.5</v>
      </c>
      <c r="Q104" s="4">
        <v>159.80000000000001</v>
      </c>
      <c r="R104" s="4">
        <v>143.6</v>
      </c>
      <c r="S104" s="4">
        <v>157.30000000000001</v>
      </c>
      <c r="T104" s="4">
        <v>162.1</v>
      </c>
      <c r="U104" s="4">
        <v>160.69999999999999</v>
      </c>
      <c r="V104" s="4">
        <v>153.19999999999999</v>
      </c>
      <c r="W104" s="4">
        <v>162.80000000000001</v>
      </c>
      <c r="X104" s="4">
        <v>150.4</v>
      </c>
      <c r="Y104" s="4">
        <v>153.69999999999999</v>
      </c>
      <c r="Z104" s="4">
        <v>160.4</v>
      </c>
      <c r="AA104" s="4">
        <v>159.6</v>
      </c>
      <c r="AB104" s="4">
        <v>156</v>
      </c>
      <c r="AC104" s="4">
        <v>162.30000000000001</v>
      </c>
    </row>
    <row r="105" spans="1:29" ht="15" customHeight="1" x14ac:dyDescent="0.3">
      <c r="A105" s="17">
        <v>44440</v>
      </c>
      <c r="B105" s="58">
        <v>73.130738295454549</v>
      </c>
      <c r="C105" s="4">
        <v>149.30000000000001</v>
      </c>
      <c r="D105" s="4">
        <v>207.4</v>
      </c>
      <c r="E105" s="4">
        <v>174.1</v>
      </c>
      <c r="F105" s="4">
        <v>159.1</v>
      </c>
      <c r="G105" s="4">
        <v>175</v>
      </c>
      <c r="H105" s="4">
        <v>161.19999999999999</v>
      </c>
      <c r="I105" s="4">
        <v>183.5</v>
      </c>
      <c r="J105" s="4">
        <v>164.5</v>
      </c>
      <c r="K105" s="4">
        <v>120.4</v>
      </c>
      <c r="L105" s="4">
        <v>166.2</v>
      </c>
      <c r="M105" s="4">
        <v>154.80000000000001</v>
      </c>
      <c r="N105" s="4">
        <v>175.1</v>
      </c>
      <c r="O105" s="4">
        <v>167.3</v>
      </c>
      <c r="P105" s="4">
        <v>196.5</v>
      </c>
      <c r="Q105" s="4">
        <v>159.80000000000001</v>
      </c>
      <c r="R105" s="4">
        <v>143.6</v>
      </c>
      <c r="S105" s="4">
        <v>157.4</v>
      </c>
      <c r="T105" s="4">
        <v>162.1</v>
      </c>
      <c r="U105" s="4">
        <v>160.80000000000001</v>
      </c>
      <c r="V105" s="4">
        <v>153.30000000000001</v>
      </c>
      <c r="W105" s="4">
        <v>162.80000000000001</v>
      </c>
      <c r="X105" s="4">
        <v>150.5</v>
      </c>
      <c r="Y105" s="4">
        <v>153.9</v>
      </c>
      <c r="Z105" s="4">
        <v>160.30000000000001</v>
      </c>
      <c r="AA105" s="4">
        <v>159.6</v>
      </c>
      <c r="AB105" s="4">
        <v>156</v>
      </c>
      <c r="AC105" s="4">
        <v>162.30000000000001</v>
      </c>
    </row>
    <row r="106" spans="1:29" ht="15" customHeight="1" x14ac:dyDescent="0.3">
      <c r="A106" s="17">
        <v>44470</v>
      </c>
      <c r="B106" s="58">
        <v>82.107393785714294</v>
      </c>
      <c r="C106" s="4">
        <v>150.1</v>
      </c>
      <c r="D106" s="4">
        <v>208.4</v>
      </c>
      <c r="E106" s="4">
        <v>173</v>
      </c>
      <c r="F106" s="4">
        <v>159.19999999999999</v>
      </c>
      <c r="G106" s="4">
        <v>176.6</v>
      </c>
      <c r="H106" s="4">
        <v>159.30000000000001</v>
      </c>
      <c r="I106" s="4">
        <v>214.4</v>
      </c>
      <c r="J106" s="4">
        <v>165.3</v>
      </c>
      <c r="K106" s="4">
        <v>122.5</v>
      </c>
      <c r="L106" s="4">
        <v>166.8</v>
      </c>
      <c r="M106" s="4">
        <v>155.4</v>
      </c>
      <c r="N106" s="4">
        <v>175.9</v>
      </c>
      <c r="O106" s="4">
        <v>171.5</v>
      </c>
      <c r="P106" s="4">
        <v>197</v>
      </c>
      <c r="Q106" s="4">
        <v>160.80000000000001</v>
      </c>
      <c r="R106" s="4">
        <v>144.4</v>
      </c>
      <c r="S106" s="4">
        <v>158.30000000000001</v>
      </c>
      <c r="T106" s="4">
        <v>163.6</v>
      </c>
      <c r="U106" s="4">
        <v>162.19999999999999</v>
      </c>
      <c r="V106" s="4">
        <v>154.30000000000001</v>
      </c>
      <c r="W106" s="4">
        <v>163.5</v>
      </c>
      <c r="X106" s="4">
        <v>152.19999999999999</v>
      </c>
      <c r="Y106" s="4">
        <v>155.1</v>
      </c>
      <c r="Z106" s="4">
        <v>160.30000000000001</v>
      </c>
      <c r="AA106" s="4">
        <v>160.30000000000001</v>
      </c>
      <c r="AB106" s="4">
        <v>157</v>
      </c>
      <c r="AC106" s="4">
        <v>164.6</v>
      </c>
    </row>
    <row r="107" spans="1:29" ht="15" customHeight="1" x14ac:dyDescent="0.3">
      <c r="A107" s="17">
        <v>44501</v>
      </c>
      <c r="B107" s="58">
        <v>80.637301023809528</v>
      </c>
      <c r="C107" s="4">
        <v>151</v>
      </c>
      <c r="D107" s="4">
        <v>204.9</v>
      </c>
      <c r="E107" s="4">
        <v>175.4</v>
      </c>
      <c r="F107" s="4">
        <v>159.6</v>
      </c>
      <c r="G107" s="4">
        <v>175.8</v>
      </c>
      <c r="H107" s="4">
        <v>160.30000000000001</v>
      </c>
      <c r="I107" s="4">
        <v>229.1</v>
      </c>
      <c r="J107" s="4">
        <v>165.1</v>
      </c>
      <c r="K107" s="4">
        <v>123.1</v>
      </c>
      <c r="L107" s="4">
        <v>167.2</v>
      </c>
      <c r="M107" s="4">
        <v>156.1</v>
      </c>
      <c r="N107" s="4">
        <v>176.8</v>
      </c>
      <c r="O107" s="4">
        <v>173.5</v>
      </c>
      <c r="P107" s="4">
        <v>197</v>
      </c>
      <c r="Q107" s="4">
        <v>162.30000000000001</v>
      </c>
      <c r="R107" s="4">
        <v>145.30000000000001</v>
      </c>
      <c r="S107" s="4">
        <v>159.69999999999999</v>
      </c>
      <c r="T107" s="4">
        <v>164.2</v>
      </c>
      <c r="U107" s="4">
        <v>161.6</v>
      </c>
      <c r="V107" s="4">
        <v>155.19999999999999</v>
      </c>
      <c r="W107" s="4">
        <v>164.2</v>
      </c>
      <c r="X107" s="4">
        <v>151.19999999999999</v>
      </c>
      <c r="Y107" s="4">
        <v>156.69999999999999</v>
      </c>
      <c r="Z107" s="4">
        <v>160.80000000000001</v>
      </c>
      <c r="AA107" s="4">
        <v>161.80000000000001</v>
      </c>
      <c r="AB107" s="4">
        <v>157.30000000000001</v>
      </c>
      <c r="AC107" s="4">
        <v>165.6</v>
      </c>
    </row>
    <row r="108" spans="1:29" ht="15" customHeight="1" x14ac:dyDescent="0.3">
      <c r="A108" s="17">
        <v>44531</v>
      </c>
      <c r="B108" s="58">
        <v>73.298823523809531</v>
      </c>
      <c r="C108" s="4">
        <v>151.6</v>
      </c>
      <c r="D108" s="4">
        <v>202.2</v>
      </c>
      <c r="E108" s="4">
        <v>180</v>
      </c>
      <c r="F108" s="4">
        <v>160</v>
      </c>
      <c r="G108" s="4">
        <v>173.5</v>
      </c>
      <c r="H108" s="4">
        <v>158.30000000000001</v>
      </c>
      <c r="I108" s="4">
        <v>219.5</v>
      </c>
      <c r="J108" s="4">
        <v>164.2</v>
      </c>
      <c r="K108" s="4">
        <v>121.9</v>
      </c>
      <c r="L108" s="4">
        <v>168.2</v>
      </c>
      <c r="M108" s="4">
        <v>156.5</v>
      </c>
      <c r="N108" s="4">
        <v>178.2</v>
      </c>
      <c r="O108" s="4">
        <v>172.2</v>
      </c>
      <c r="P108" s="4">
        <v>196.8</v>
      </c>
      <c r="Q108" s="4">
        <v>163.30000000000001</v>
      </c>
      <c r="R108" s="4">
        <v>146.69999999999999</v>
      </c>
      <c r="S108" s="4">
        <v>160.69999999999999</v>
      </c>
      <c r="T108" s="4">
        <v>163.4</v>
      </c>
      <c r="U108" s="4">
        <v>161.69999999999999</v>
      </c>
      <c r="V108" s="4">
        <v>156</v>
      </c>
      <c r="W108" s="4">
        <v>165.1</v>
      </c>
      <c r="X108" s="4">
        <v>151.80000000000001</v>
      </c>
      <c r="Y108" s="4">
        <v>157.6</v>
      </c>
      <c r="Z108" s="4">
        <v>160.6</v>
      </c>
      <c r="AA108" s="4">
        <v>162.4</v>
      </c>
      <c r="AB108" s="4">
        <v>157.80000000000001</v>
      </c>
      <c r="AC108" s="4">
        <v>165.2</v>
      </c>
    </row>
    <row r="109" spans="1:29" ht="15" customHeight="1" x14ac:dyDescent="0.3">
      <c r="A109" s="17">
        <v>44562</v>
      </c>
      <c r="B109" s="58">
        <v>84.666318799999985</v>
      </c>
      <c r="C109" s="4">
        <v>152.19999999999999</v>
      </c>
      <c r="D109" s="4">
        <v>202.1</v>
      </c>
      <c r="E109" s="4">
        <v>180.1</v>
      </c>
      <c r="F109" s="4">
        <v>160.4</v>
      </c>
      <c r="G109" s="4">
        <v>171</v>
      </c>
      <c r="H109" s="4">
        <v>156.5</v>
      </c>
      <c r="I109" s="4">
        <v>203.6</v>
      </c>
      <c r="J109" s="4">
        <v>163.80000000000001</v>
      </c>
      <c r="K109" s="4">
        <v>121.3</v>
      </c>
      <c r="L109" s="4">
        <v>169.8</v>
      </c>
      <c r="M109" s="4">
        <v>156.6</v>
      </c>
      <c r="N109" s="4">
        <v>179</v>
      </c>
      <c r="O109" s="4">
        <v>170.3</v>
      </c>
      <c r="P109" s="4">
        <v>196.4</v>
      </c>
      <c r="Q109" s="4">
        <v>164.7</v>
      </c>
      <c r="R109" s="4">
        <v>148.5</v>
      </c>
      <c r="S109" s="4">
        <v>162.19999999999999</v>
      </c>
      <c r="T109" s="4">
        <v>164.5</v>
      </c>
      <c r="U109" s="4">
        <v>161.6</v>
      </c>
      <c r="V109" s="4">
        <v>156.80000000000001</v>
      </c>
      <c r="W109" s="4">
        <v>166.1</v>
      </c>
      <c r="X109" s="4">
        <v>152.69999999999999</v>
      </c>
      <c r="Y109" s="4">
        <v>158.4</v>
      </c>
      <c r="Z109" s="4">
        <v>161</v>
      </c>
      <c r="AA109" s="4">
        <v>162.80000000000001</v>
      </c>
      <c r="AB109" s="4">
        <v>158.6</v>
      </c>
      <c r="AC109" s="4">
        <v>165</v>
      </c>
    </row>
    <row r="110" spans="1:29" ht="15" customHeight="1" x14ac:dyDescent="0.3">
      <c r="A110" s="17">
        <v>44593</v>
      </c>
      <c r="B110" s="58">
        <v>94.067715194444446</v>
      </c>
      <c r="C110" s="4">
        <v>152.5</v>
      </c>
      <c r="D110" s="4">
        <v>205.2</v>
      </c>
      <c r="E110" s="4">
        <v>176.4</v>
      </c>
      <c r="F110" s="4">
        <v>160.6</v>
      </c>
      <c r="G110" s="4">
        <v>171.5</v>
      </c>
      <c r="H110" s="4">
        <v>156.4</v>
      </c>
      <c r="I110" s="4">
        <v>198</v>
      </c>
      <c r="J110" s="4">
        <v>163.19999999999999</v>
      </c>
      <c r="K110" s="4">
        <v>120.6</v>
      </c>
      <c r="L110" s="4">
        <v>172.2</v>
      </c>
      <c r="M110" s="4">
        <v>156.69999999999999</v>
      </c>
      <c r="N110" s="4">
        <v>180</v>
      </c>
      <c r="O110" s="4">
        <v>170.2</v>
      </c>
      <c r="P110" s="4">
        <v>196.5</v>
      </c>
      <c r="Q110" s="4">
        <v>165.7</v>
      </c>
      <c r="R110" s="4">
        <v>150.4</v>
      </c>
      <c r="S110" s="4">
        <v>163.4</v>
      </c>
      <c r="T110" s="4">
        <v>165.5</v>
      </c>
      <c r="U110" s="4">
        <v>163</v>
      </c>
      <c r="V110" s="4">
        <v>157.4</v>
      </c>
      <c r="W110" s="4">
        <v>167.2</v>
      </c>
      <c r="X110" s="4">
        <v>153.1</v>
      </c>
      <c r="Y110" s="4">
        <v>159.5</v>
      </c>
      <c r="Z110" s="4">
        <v>162</v>
      </c>
      <c r="AA110" s="4">
        <v>164.2</v>
      </c>
      <c r="AB110" s="4">
        <v>159.4</v>
      </c>
      <c r="AC110" s="4">
        <v>165.5</v>
      </c>
    </row>
    <row r="111" spans="1:29" ht="15" customHeight="1" x14ac:dyDescent="0.3">
      <c r="A111" s="17">
        <v>44621</v>
      </c>
      <c r="B111" s="58">
        <v>112.87479254347826</v>
      </c>
      <c r="C111" s="4">
        <v>153.69999999999999</v>
      </c>
      <c r="D111" s="4">
        <v>215.8</v>
      </c>
      <c r="E111" s="4">
        <v>167.7</v>
      </c>
      <c r="F111" s="4">
        <v>162.6</v>
      </c>
      <c r="G111" s="4">
        <v>180</v>
      </c>
      <c r="H111" s="4">
        <v>159.6</v>
      </c>
      <c r="I111" s="4">
        <v>188.4</v>
      </c>
      <c r="J111" s="4">
        <v>163.4</v>
      </c>
      <c r="K111" s="4">
        <v>120.3</v>
      </c>
      <c r="L111" s="4">
        <v>174.7</v>
      </c>
      <c r="M111" s="4">
        <v>157.1</v>
      </c>
      <c r="N111" s="4">
        <v>181.5</v>
      </c>
      <c r="O111" s="4">
        <v>171.5</v>
      </c>
      <c r="P111" s="4">
        <v>197.5</v>
      </c>
      <c r="Q111" s="4">
        <v>167.1</v>
      </c>
      <c r="R111" s="4">
        <v>152.6</v>
      </c>
      <c r="S111" s="4">
        <v>164.9</v>
      </c>
      <c r="T111" s="4">
        <v>165.3</v>
      </c>
      <c r="U111" s="4">
        <v>164.5</v>
      </c>
      <c r="V111" s="4">
        <v>158.6</v>
      </c>
      <c r="W111" s="4">
        <v>168.2</v>
      </c>
      <c r="X111" s="4">
        <v>154.19999999999999</v>
      </c>
      <c r="Y111" s="4">
        <v>160.80000000000001</v>
      </c>
      <c r="Z111" s="4">
        <v>162.69999999999999</v>
      </c>
      <c r="AA111" s="4">
        <v>166.8</v>
      </c>
      <c r="AB111" s="4">
        <v>160.6</v>
      </c>
      <c r="AC111" s="4">
        <v>166.5</v>
      </c>
    </row>
    <row r="112" spans="1:29" ht="15" customHeight="1" x14ac:dyDescent="0.3">
      <c r="A112" s="17">
        <v>44652</v>
      </c>
      <c r="B112" s="58">
        <v>102.96599786842103</v>
      </c>
      <c r="C112" s="4">
        <v>155.4</v>
      </c>
      <c r="D112" s="4">
        <v>215.8</v>
      </c>
      <c r="E112" s="4">
        <v>164.6</v>
      </c>
      <c r="F112" s="4">
        <v>164.2</v>
      </c>
      <c r="G112" s="4">
        <v>186</v>
      </c>
      <c r="H112" s="4">
        <v>175.9</v>
      </c>
      <c r="I112" s="4">
        <v>190.7</v>
      </c>
      <c r="J112" s="4">
        <v>164</v>
      </c>
      <c r="K112" s="4">
        <v>120.5</v>
      </c>
      <c r="L112" s="4">
        <v>178</v>
      </c>
      <c r="M112" s="4">
        <v>157.5</v>
      </c>
      <c r="N112" s="4">
        <v>183.3</v>
      </c>
      <c r="O112" s="4">
        <v>174.5</v>
      </c>
      <c r="P112" s="4">
        <v>197.1</v>
      </c>
      <c r="Q112" s="4">
        <v>168.4</v>
      </c>
      <c r="R112" s="4">
        <v>154.5</v>
      </c>
      <c r="S112" s="4">
        <v>166.3</v>
      </c>
      <c r="T112" s="4">
        <v>167</v>
      </c>
      <c r="U112" s="4">
        <v>170.5</v>
      </c>
      <c r="V112" s="4">
        <v>159.80000000000001</v>
      </c>
      <c r="W112" s="4">
        <v>169</v>
      </c>
      <c r="X112" s="4">
        <v>159.30000000000001</v>
      </c>
      <c r="Y112" s="4">
        <v>162.19999999999999</v>
      </c>
      <c r="Z112" s="4">
        <v>164</v>
      </c>
      <c r="AA112" s="4">
        <v>168.4</v>
      </c>
      <c r="AB112" s="4">
        <v>163.1</v>
      </c>
      <c r="AC112" s="4">
        <v>169.2</v>
      </c>
    </row>
    <row r="113" spans="1:29" ht="15" customHeight="1" x14ac:dyDescent="0.3">
      <c r="A113" s="17">
        <v>44682</v>
      </c>
      <c r="B113" s="58">
        <v>109.50503773684208</v>
      </c>
      <c r="C113" s="4">
        <v>156.69999999999999</v>
      </c>
      <c r="D113" s="4">
        <v>221.2</v>
      </c>
      <c r="E113" s="4">
        <v>164.1</v>
      </c>
      <c r="F113" s="4">
        <v>165.4</v>
      </c>
      <c r="G113" s="4">
        <v>189.5</v>
      </c>
      <c r="H113" s="4">
        <v>174.5</v>
      </c>
      <c r="I113" s="4">
        <v>203.2</v>
      </c>
      <c r="J113" s="4">
        <v>164.1</v>
      </c>
      <c r="K113" s="4">
        <v>121.2</v>
      </c>
      <c r="L113" s="4">
        <v>181.4</v>
      </c>
      <c r="M113" s="4">
        <v>158.5</v>
      </c>
      <c r="N113" s="4">
        <v>184.9</v>
      </c>
      <c r="O113" s="4">
        <v>177.5</v>
      </c>
      <c r="P113" s="4">
        <v>197.5</v>
      </c>
      <c r="Q113" s="4">
        <v>170</v>
      </c>
      <c r="R113" s="4">
        <v>155.9</v>
      </c>
      <c r="S113" s="4">
        <v>167.8</v>
      </c>
      <c r="T113" s="4">
        <v>167.5</v>
      </c>
      <c r="U113" s="4">
        <v>173.5</v>
      </c>
      <c r="V113" s="4">
        <v>161.1</v>
      </c>
      <c r="W113" s="4">
        <v>170.1</v>
      </c>
      <c r="X113" s="4">
        <v>159.4</v>
      </c>
      <c r="Y113" s="4">
        <v>163.19999999999999</v>
      </c>
      <c r="Z113" s="4">
        <v>165.2</v>
      </c>
      <c r="AA113" s="4">
        <v>168.2</v>
      </c>
      <c r="AB113" s="4">
        <v>163.80000000000001</v>
      </c>
      <c r="AC113" s="4">
        <v>170.8</v>
      </c>
    </row>
    <row r="114" spans="1:29" ht="15" customHeight="1" x14ac:dyDescent="0.3">
      <c r="A114" s="17">
        <v>44713</v>
      </c>
      <c r="B114" s="58">
        <v>116.01138504999999</v>
      </c>
      <c r="C114" s="4">
        <v>157.5</v>
      </c>
      <c r="D114" s="4">
        <v>223.4</v>
      </c>
      <c r="E114" s="4">
        <v>172.8</v>
      </c>
      <c r="F114" s="4">
        <v>166.4</v>
      </c>
      <c r="G114" s="4">
        <v>188.6</v>
      </c>
      <c r="H114" s="4">
        <v>174.1</v>
      </c>
      <c r="I114" s="4">
        <v>211.5</v>
      </c>
      <c r="J114" s="4">
        <v>163.6</v>
      </c>
      <c r="K114" s="4">
        <v>121.4</v>
      </c>
      <c r="L114" s="4">
        <v>183.5</v>
      </c>
      <c r="M114" s="4">
        <v>159.1</v>
      </c>
      <c r="N114" s="4">
        <v>186.3</v>
      </c>
      <c r="O114" s="4">
        <v>179.3</v>
      </c>
      <c r="P114" s="4">
        <v>198.3</v>
      </c>
      <c r="Q114" s="4">
        <v>171.6</v>
      </c>
      <c r="R114" s="4">
        <v>157.4</v>
      </c>
      <c r="S114" s="4">
        <v>169.4</v>
      </c>
      <c r="T114" s="4">
        <v>166.8</v>
      </c>
      <c r="U114" s="4">
        <v>174.9</v>
      </c>
      <c r="V114" s="4">
        <v>162.1</v>
      </c>
      <c r="W114" s="4">
        <v>170.9</v>
      </c>
      <c r="X114" s="4">
        <v>157.19999999999999</v>
      </c>
      <c r="Y114" s="4">
        <v>164.1</v>
      </c>
      <c r="Z114" s="4">
        <v>166.5</v>
      </c>
      <c r="AA114" s="4">
        <v>169.2</v>
      </c>
      <c r="AB114" s="4">
        <v>163.80000000000001</v>
      </c>
      <c r="AC114" s="4">
        <v>171.4</v>
      </c>
    </row>
    <row r="115" spans="1:29" ht="15" customHeight="1" x14ac:dyDescent="0.3">
      <c r="A115" s="17">
        <v>44743</v>
      </c>
      <c r="B115" s="58">
        <v>105.49124737500001</v>
      </c>
      <c r="C115" s="4">
        <v>159.30000000000001</v>
      </c>
      <c r="D115" s="4">
        <v>217.1</v>
      </c>
      <c r="E115" s="4">
        <v>176.6</v>
      </c>
      <c r="F115" s="4">
        <v>167.1</v>
      </c>
      <c r="G115" s="4">
        <v>184.8</v>
      </c>
      <c r="H115" s="4">
        <v>179.5</v>
      </c>
      <c r="I115" s="4">
        <v>208.5</v>
      </c>
      <c r="J115" s="4">
        <v>164</v>
      </c>
      <c r="K115" s="4">
        <v>121.5</v>
      </c>
      <c r="L115" s="4">
        <v>186.3</v>
      </c>
      <c r="M115" s="4">
        <v>159.80000000000001</v>
      </c>
      <c r="N115" s="4">
        <v>187.7</v>
      </c>
      <c r="O115" s="4">
        <v>179.4</v>
      </c>
      <c r="P115" s="4">
        <v>198.6</v>
      </c>
      <c r="Q115" s="4">
        <v>172.7</v>
      </c>
      <c r="R115" s="4">
        <v>158.69999999999999</v>
      </c>
      <c r="S115" s="4">
        <v>170.6</v>
      </c>
      <c r="T115" s="4">
        <v>167.8</v>
      </c>
      <c r="U115" s="4">
        <v>179.5</v>
      </c>
      <c r="V115" s="4">
        <v>163.1</v>
      </c>
      <c r="W115" s="4">
        <v>171.7</v>
      </c>
      <c r="X115" s="4">
        <v>157.4</v>
      </c>
      <c r="Y115" s="4">
        <v>164.6</v>
      </c>
      <c r="Z115" s="4">
        <v>169.1</v>
      </c>
      <c r="AA115" s="4">
        <v>169.8</v>
      </c>
      <c r="AB115" s="4">
        <v>164.7</v>
      </c>
      <c r="AC115" s="4">
        <v>172.3</v>
      </c>
    </row>
    <row r="116" spans="1:29" ht="15" customHeight="1" x14ac:dyDescent="0.3">
      <c r="A116" s="17">
        <v>44774</v>
      </c>
      <c r="B116" s="58">
        <v>97.404465428571427</v>
      </c>
      <c r="C116" s="4">
        <v>162.1</v>
      </c>
      <c r="D116" s="4">
        <v>210.9</v>
      </c>
      <c r="E116" s="4">
        <v>170.6</v>
      </c>
      <c r="F116" s="4">
        <v>168.4</v>
      </c>
      <c r="G116" s="4">
        <v>182.5</v>
      </c>
      <c r="H116" s="4">
        <v>177.1</v>
      </c>
      <c r="I116" s="4">
        <v>213.1</v>
      </c>
      <c r="J116" s="4">
        <v>167.3</v>
      </c>
      <c r="K116" s="4">
        <v>122.2</v>
      </c>
      <c r="L116" s="4">
        <v>189.7</v>
      </c>
      <c r="M116" s="4">
        <v>160.5</v>
      </c>
      <c r="N116" s="4">
        <v>188.9</v>
      </c>
      <c r="O116" s="4">
        <v>180.4</v>
      </c>
      <c r="P116" s="4">
        <v>198.7</v>
      </c>
      <c r="Q116" s="4">
        <v>173.7</v>
      </c>
      <c r="R116" s="4">
        <v>160</v>
      </c>
      <c r="S116" s="4">
        <v>171.6</v>
      </c>
      <c r="T116" s="4">
        <v>169</v>
      </c>
      <c r="U116" s="4">
        <v>178.4</v>
      </c>
      <c r="V116" s="4">
        <v>164.2</v>
      </c>
      <c r="W116" s="4">
        <v>172.6</v>
      </c>
      <c r="X116" s="4">
        <v>157.69999999999999</v>
      </c>
      <c r="Y116" s="4">
        <v>165.1</v>
      </c>
      <c r="Z116" s="4">
        <v>169.9</v>
      </c>
      <c r="AA116" s="4">
        <v>171.4</v>
      </c>
      <c r="AB116" s="4">
        <v>165.4</v>
      </c>
      <c r="AC116" s="4">
        <v>173.1</v>
      </c>
    </row>
    <row r="117" spans="1:29" ht="15" customHeight="1" x14ac:dyDescent="0.3">
      <c r="A117" s="17">
        <v>44805</v>
      </c>
      <c r="B117" s="58">
        <v>90.706344809523813</v>
      </c>
      <c r="C117" s="4">
        <v>164.9</v>
      </c>
      <c r="D117" s="4">
        <v>213.7</v>
      </c>
      <c r="E117" s="4">
        <v>170.9</v>
      </c>
      <c r="F117" s="4">
        <v>170.1</v>
      </c>
      <c r="G117" s="4">
        <v>179.3</v>
      </c>
      <c r="H117" s="4">
        <v>167.5</v>
      </c>
      <c r="I117" s="4">
        <v>220.8</v>
      </c>
      <c r="J117" s="4">
        <v>169.2</v>
      </c>
      <c r="K117" s="4">
        <v>123.1</v>
      </c>
      <c r="L117" s="4">
        <v>193.6</v>
      </c>
      <c r="M117" s="4">
        <v>161.1</v>
      </c>
      <c r="N117" s="4">
        <v>190.4</v>
      </c>
      <c r="O117" s="4">
        <v>181.8</v>
      </c>
      <c r="P117" s="4">
        <v>199.7</v>
      </c>
      <c r="Q117" s="4">
        <v>175</v>
      </c>
      <c r="R117" s="4">
        <v>161.69999999999999</v>
      </c>
      <c r="S117" s="4">
        <v>173</v>
      </c>
      <c r="T117" s="4">
        <v>169.5</v>
      </c>
      <c r="U117" s="4">
        <v>179.2</v>
      </c>
      <c r="V117" s="4">
        <v>165</v>
      </c>
      <c r="W117" s="4">
        <v>173.8</v>
      </c>
      <c r="X117" s="4">
        <v>158.19999999999999</v>
      </c>
      <c r="Y117" s="4">
        <v>165.8</v>
      </c>
      <c r="Z117" s="4">
        <v>170.9</v>
      </c>
      <c r="AA117" s="4">
        <v>171.1</v>
      </c>
      <c r="AB117" s="4">
        <v>166.1</v>
      </c>
      <c r="AC117" s="4">
        <v>174.1</v>
      </c>
    </row>
    <row r="118" spans="1:29" ht="15" customHeight="1" x14ac:dyDescent="0.3">
      <c r="A118" s="17">
        <v>44835</v>
      </c>
      <c r="B118" s="58">
        <v>91.698948700000003</v>
      </c>
      <c r="C118" s="4">
        <v>166.4</v>
      </c>
      <c r="D118" s="4">
        <v>214.9</v>
      </c>
      <c r="E118" s="4">
        <v>171.9</v>
      </c>
      <c r="F118" s="4">
        <v>171</v>
      </c>
      <c r="G118" s="4">
        <v>177.7</v>
      </c>
      <c r="H118" s="4">
        <v>165.7</v>
      </c>
      <c r="I118" s="4">
        <v>228.6</v>
      </c>
      <c r="J118" s="4">
        <v>169.9</v>
      </c>
      <c r="K118" s="4">
        <v>123.4</v>
      </c>
      <c r="L118" s="4">
        <v>196.4</v>
      </c>
      <c r="M118" s="4">
        <v>161.6</v>
      </c>
      <c r="N118" s="4">
        <v>191.5</v>
      </c>
      <c r="O118" s="4">
        <v>183.3</v>
      </c>
      <c r="P118" s="4">
        <v>200.1</v>
      </c>
      <c r="Q118" s="4">
        <v>175.5</v>
      </c>
      <c r="R118" s="4">
        <v>162.6</v>
      </c>
      <c r="S118" s="4">
        <v>173.6</v>
      </c>
      <c r="T118" s="4">
        <v>171.2</v>
      </c>
      <c r="U118" s="4">
        <v>180</v>
      </c>
      <c r="V118" s="4">
        <v>166</v>
      </c>
      <c r="W118" s="4">
        <v>174.7</v>
      </c>
      <c r="X118" s="4">
        <v>158.80000000000001</v>
      </c>
      <c r="Y118" s="4">
        <v>166.3</v>
      </c>
      <c r="Z118" s="4">
        <v>171.2</v>
      </c>
      <c r="AA118" s="4">
        <v>172.3</v>
      </c>
      <c r="AB118" s="4">
        <v>166.8</v>
      </c>
      <c r="AC118" s="4">
        <v>175.3</v>
      </c>
    </row>
    <row r="119" spans="1:29" ht="15" customHeight="1" x14ac:dyDescent="0.3">
      <c r="A119" s="17">
        <v>44866</v>
      </c>
      <c r="B119" s="58">
        <v>87.552266068181822</v>
      </c>
      <c r="C119" s="4">
        <v>168.4</v>
      </c>
      <c r="D119" s="4">
        <v>213.4</v>
      </c>
      <c r="E119" s="4">
        <v>183.2</v>
      </c>
      <c r="F119" s="4">
        <v>172.3</v>
      </c>
      <c r="G119" s="4">
        <v>180</v>
      </c>
      <c r="H119" s="4">
        <v>162.6</v>
      </c>
      <c r="I119" s="4">
        <v>205.5</v>
      </c>
      <c r="J119" s="4">
        <v>171</v>
      </c>
      <c r="K119" s="4">
        <v>123.4</v>
      </c>
      <c r="L119" s="4">
        <v>198.8</v>
      </c>
      <c r="M119" s="4">
        <v>162.1</v>
      </c>
      <c r="N119" s="4">
        <v>192.4</v>
      </c>
      <c r="O119" s="4">
        <v>181.3</v>
      </c>
      <c r="P119" s="4">
        <v>200.6</v>
      </c>
      <c r="Q119" s="4">
        <v>176.7</v>
      </c>
      <c r="R119" s="4">
        <v>163.5</v>
      </c>
      <c r="S119" s="4">
        <v>174.7</v>
      </c>
      <c r="T119" s="4">
        <v>171.8</v>
      </c>
      <c r="U119" s="4">
        <v>180.3</v>
      </c>
      <c r="V119" s="4">
        <v>166.9</v>
      </c>
      <c r="W119" s="4">
        <v>175.8</v>
      </c>
      <c r="X119" s="4">
        <v>158.9</v>
      </c>
      <c r="Y119" s="4">
        <v>166.7</v>
      </c>
      <c r="Z119" s="4">
        <v>171.5</v>
      </c>
      <c r="AA119" s="4">
        <v>173.8</v>
      </c>
      <c r="AB119" s="4">
        <v>167.4</v>
      </c>
      <c r="AC119" s="4">
        <v>174.1</v>
      </c>
    </row>
    <row r="120" spans="1:29" ht="15" customHeight="1" x14ac:dyDescent="0.3">
      <c r="A120" s="17">
        <v>44896</v>
      </c>
      <c r="B120" s="58">
        <v>78.100942275000008</v>
      </c>
      <c r="C120" s="4">
        <v>170.2</v>
      </c>
      <c r="D120" s="4">
        <v>212.9</v>
      </c>
      <c r="E120" s="4">
        <v>191.9</v>
      </c>
      <c r="F120" s="4">
        <v>173.9</v>
      </c>
      <c r="G120" s="4">
        <v>179.1</v>
      </c>
      <c r="H120" s="4">
        <v>159.5</v>
      </c>
      <c r="I120" s="4">
        <v>178.7</v>
      </c>
      <c r="J120" s="4">
        <v>171.3</v>
      </c>
      <c r="K120" s="4">
        <v>123.1</v>
      </c>
      <c r="L120" s="4">
        <v>200.5</v>
      </c>
      <c r="M120" s="4">
        <v>162.80000000000001</v>
      </c>
      <c r="N120" s="4">
        <v>193.3</v>
      </c>
      <c r="O120" s="4">
        <v>178.6</v>
      </c>
      <c r="P120" s="4">
        <v>201.1</v>
      </c>
      <c r="Q120" s="4">
        <v>177.7</v>
      </c>
      <c r="R120" s="4">
        <v>164.5</v>
      </c>
      <c r="S120" s="4">
        <v>175.7</v>
      </c>
      <c r="T120" s="4">
        <v>170.7</v>
      </c>
      <c r="U120" s="4">
        <v>180.6</v>
      </c>
      <c r="V120" s="4">
        <v>167.3</v>
      </c>
      <c r="W120" s="4">
        <v>177.2</v>
      </c>
      <c r="X120" s="4">
        <v>159.4</v>
      </c>
      <c r="Y120" s="4">
        <v>167.1</v>
      </c>
      <c r="Z120" s="4">
        <v>171.8</v>
      </c>
      <c r="AA120" s="4">
        <v>176</v>
      </c>
      <c r="AB120" s="4">
        <v>168.2</v>
      </c>
      <c r="AC120" s="4">
        <v>174.1</v>
      </c>
    </row>
    <row r="121" spans="1:29" ht="15" customHeight="1" x14ac:dyDescent="0.3">
      <c r="A121" s="17">
        <v>44927</v>
      </c>
      <c r="B121" s="58">
        <v>80.922269684210534</v>
      </c>
      <c r="C121" s="4">
        <v>173.3</v>
      </c>
      <c r="D121" s="4">
        <v>215.2</v>
      </c>
      <c r="E121" s="4">
        <v>197</v>
      </c>
      <c r="F121" s="4">
        <v>175.2</v>
      </c>
      <c r="G121" s="4">
        <v>178</v>
      </c>
      <c r="H121" s="4">
        <v>160.5</v>
      </c>
      <c r="I121" s="4">
        <v>175.3</v>
      </c>
      <c r="J121" s="4">
        <v>171.2</v>
      </c>
      <c r="K121" s="4">
        <v>122.7</v>
      </c>
      <c r="L121" s="4">
        <v>204.3</v>
      </c>
      <c r="M121" s="4">
        <v>163.69999999999999</v>
      </c>
      <c r="N121" s="4">
        <v>194.3</v>
      </c>
      <c r="O121" s="4">
        <v>179.5</v>
      </c>
      <c r="P121" s="4">
        <v>201.6</v>
      </c>
      <c r="Q121" s="4">
        <v>178.7</v>
      </c>
      <c r="R121" s="4">
        <v>165.3</v>
      </c>
      <c r="S121" s="4">
        <v>176.6</v>
      </c>
      <c r="T121" s="4">
        <v>172.1</v>
      </c>
      <c r="U121" s="4">
        <v>180.1</v>
      </c>
      <c r="V121" s="4">
        <v>168</v>
      </c>
      <c r="W121" s="4">
        <v>178.5</v>
      </c>
      <c r="X121" s="4">
        <v>159.5</v>
      </c>
      <c r="Y121" s="4">
        <v>167.8</v>
      </c>
      <c r="Z121" s="4">
        <v>171.8</v>
      </c>
      <c r="AA121" s="4">
        <v>178.8</v>
      </c>
      <c r="AB121" s="4">
        <v>168.9</v>
      </c>
      <c r="AC121" s="4">
        <v>174.9</v>
      </c>
    </row>
    <row r="122" spans="1:29" ht="15" customHeight="1" x14ac:dyDescent="0.3">
      <c r="A122" s="17">
        <v>44958</v>
      </c>
      <c r="B122" s="58">
        <v>82.278706675000009</v>
      </c>
      <c r="C122" s="4">
        <v>174.7</v>
      </c>
      <c r="D122" s="4">
        <v>212.2</v>
      </c>
      <c r="E122" s="4">
        <v>177.2</v>
      </c>
      <c r="F122" s="4">
        <v>177.9</v>
      </c>
      <c r="G122" s="4">
        <v>172.2</v>
      </c>
      <c r="H122" s="4">
        <v>172.1</v>
      </c>
      <c r="I122" s="4">
        <v>175.8</v>
      </c>
      <c r="J122" s="4">
        <v>172.2</v>
      </c>
      <c r="K122" s="4">
        <v>121.9</v>
      </c>
      <c r="L122" s="4">
        <v>204.8</v>
      </c>
      <c r="M122" s="4">
        <v>164.9</v>
      </c>
      <c r="N122" s="4">
        <v>196.6</v>
      </c>
      <c r="O122" s="4">
        <v>180.7</v>
      </c>
      <c r="P122" s="4">
        <v>202.7</v>
      </c>
      <c r="Q122" s="4">
        <v>180.3</v>
      </c>
      <c r="R122" s="4">
        <v>167</v>
      </c>
      <c r="S122" s="4">
        <v>178.2</v>
      </c>
      <c r="T122" s="4">
        <v>173.5</v>
      </c>
      <c r="U122" s="4">
        <v>182.8</v>
      </c>
      <c r="V122" s="4">
        <v>169.2</v>
      </c>
      <c r="W122" s="4">
        <v>180.8</v>
      </c>
      <c r="X122" s="4">
        <v>159.80000000000001</v>
      </c>
      <c r="Y122" s="4">
        <v>168.4</v>
      </c>
      <c r="Z122" s="4">
        <v>172.5</v>
      </c>
      <c r="AA122" s="4">
        <v>181.4</v>
      </c>
      <c r="AB122" s="4">
        <v>170</v>
      </c>
      <c r="AC122" s="4">
        <v>176.3</v>
      </c>
    </row>
    <row r="123" spans="1:29" ht="15" customHeight="1" x14ac:dyDescent="0.3">
      <c r="A123" s="17">
        <v>44986</v>
      </c>
      <c r="B123" s="58">
        <v>78.539480282608693</v>
      </c>
      <c r="C123" s="4">
        <v>174.7</v>
      </c>
      <c r="D123" s="4">
        <v>212.2</v>
      </c>
      <c r="E123" s="4">
        <v>177.2</v>
      </c>
      <c r="F123" s="4">
        <v>177.9</v>
      </c>
      <c r="G123" s="4">
        <v>172.2</v>
      </c>
      <c r="H123" s="4">
        <v>172.1</v>
      </c>
      <c r="I123" s="4">
        <v>175.9</v>
      </c>
      <c r="J123" s="4">
        <v>172.2</v>
      </c>
      <c r="K123" s="4">
        <v>121.9</v>
      </c>
      <c r="L123" s="4">
        <v>204.8</v>
      </c>
      <c r="M123" s="4">
        <v>164.9</v>
      </c>
      <c r="N123" s="4">
        <v>196.6</v>
      </c>
      <c r="O123" s="4">
        <v>180.8</v>
      </c>
      <c r="P123" s="4">
        <v>202.7</v>
      </c>
      <c r="Q123" s="4">
        <v>180.2</v>
      </c>
      <c r="R123" s="4">
        <v>167</v>
      </c>
      <c r="S123" s="4">
        <v>178.2</v>
      </c>
      <c r="T123" s="4">
        <v>173.5</v>
      </c>
      <c r="U123" s="4">
        <v>182.6</v>
      </c>
      <c r="V123" s="4">
        <v>169.2</v>
      </c>
      <c r="W123" s="4">
        <v>180.8</v>
      </c>
      <c r="X123" s="4">
        <v>159.80000000000001</v>
      </c>
      <c r="Y123" s="4">
        <v>168.4</v>
      </c>
      <c r="Z123" s="4">
        <v>172.5</v>
      </c>
      <c r="AA123" s="4">
        <v>181.5</v>
      </c>
      <c r="AB123" s="4">
        <v>170</v>
      </c>
      <c r="AC123" s="4">
        <v>176.3</v>
      </c>
    </row>
    <row r="124" spans="1:29" ht="15" customHeight="1" x14ac:dyDescent="0.3">
      <c r="A124" s="17">
        <v>45017</v>
      </c>
      <c r="B124" s="58">
        <v>83.755358416666667</v>
      </c>
      <c r="C124" s="4">
        <v>174.8</v>
      </c>
      <c r="D124" s="4">
        <v>213.7</v>
      </c>
      <c r="E124" s="4">
        <v>172.4</v>
      </c>
      <c r="F124" s="4">
        <v>178.8</v>
      </c>
      <c r="G124" s="4">
        <v>168.7</v>
      </c>
      <c r="H124" s="4">
        <v>179.2</v>
      </c>
      <c r="I124" s="4">
        <v>179.9</v>
      </c>
      <c r="J124" s="4">
        <v>174.7</v>
      </c>
      <c r="K124" s="4">
        <v>123.1</v>
      </c>
      <c r="L124" s="4">
        <v>207.8</v>
      </c>
      <c r="M124" s="4">
        <v>165.5</v>
      </c>
      <c r="N124" s="4">
        <v>197</v>
      </c>
      <c r="O124" s="4">
        <v>182.1</v>
      </c>
      <c r="P124" s="4">
        <v>203.5</v>
      </c>
      <c r="Q124" s="4">
        <v>181</v>
      </c>
      <c r="R124" s="4">
        <v>167.7</v>
      </c>
      <c r="S124" s="4">
        <v>178.9</v>
      </c>
      <c r="T124" s="4">
        <v>175.2</v>
      </c>
      <c r="U124" s="4">
        <v>182.1</v>
      </c>
      <c r="V124" s="4">
        <v>169.6</v>
      </c>
      <c r="W124" s="4">
        <v>181.5</v>
      </c>
      <c r="X124" s="4">
        <v>160.1</v>
      </c>
      <c r="Y124" s="4">
        <v>168.8</v>
      </c>
      <c r="Z124" s="4">
        <v>174.2</v>
      </c>
      <c r="AA124" s="4">
        <v>184.4</v>
      </c>
      <c r="AB124" s="4">
        <v>170.9</v>
      </c>
      <c r="AC124" s="4">
        <v>177.4</v>
      </c>
    </row>
    <row r="125" spans="1:29" ht="15" customHeight="1" x14ac:dyDescent="0.3">
      <c r="A125" s="17">
        <v>45047</v>
      </c>
      <c r="B125" s="58">
        <v>74.981547824999993</v>
      </c>
      <c r="C125" s="4">
        <v>174.7</v>
      </c>
      <c r="D125" s="4">
        <v>219.4</v>
      </c>
      <c r="E125" s="4">
        <v>176.7</v>
      </c>
      <c r="F125" s="4">
        <v>179.4</v>
      </c>
      <c r="G125" s="4">
        <v>164.4</v>
      </c>
      <c r="H125" s="4">
        <v>175.8</v>
      </c>
      <c r="I125" s="4">
        <v>185</v>
      </c>
      <c r="J125" s="4">
        <v>176.9</v>
      </c>
      <c r="K125" s="4">
        <v>124.2</v>
      </c>
      <c r="L125" s="4">
        <v>211.9</v>
      </c>
      <c r="M125" s="4">
        <v>165.9</v>
      </c>
      <c r="N125" s="4">
        <v>197.7</v>
      </c>
      <c r="O125" s="4">
        <v>183.1</v>
      </c>
      <c r="P125" s="4">
        <v>204.2</v>
      </c>
      <c r="Q125" s="4">
        <v>181.3</v>
      </c>
      <c r="R125" s="4">
        <v>168.1</v>
      </c>
      <c r="S125" s="4">
        <v>179.3</v>
      </c>
      <c r="T125" s="4">
        <v>175.6</v>
      </c>
      <c r="U125" s="4">
        <v>183.4</v>
      </c>
      <c r="V125" s="4">
        <v>170.1</v>
      </c>
      <c r="W125" s="4">
        <v>182.2</v>
      </c>
      <c r="X125" s="4">
        <v>160.4</v>
      </c>
      <c r="Y125" s="4">
        <v>169.2</v>
      </c>
      <c r="Z125" s="4">
        <v>174.8</v>
      </c>
      <c r="AA125" s="4">
        <v>185.6</v>
      </c>
      <c r="AB125" s="4">
        <v>171.6</v>
      </c>
      <c r="AC125" s="4">
        <v>178.2</v>
      </c>
    </row>
  </sheetData>
  <mergeCells count="6">
    <mergeCell ref="G96:G97"/>
    <mergeCell ref="H1:I2"/>
    <mergeCell ref="F32:G33"/>
    <mergeCell ref="B1:C2"/>
    <mergeCell ref="G63:I64"/>
    <mergeCell ref="E1:F2"/>
  </mergeCells>
  <conditionalFormatting sqref="C4:C30">
    <cfRule type="colorScale" priority="3">
      <colorScale>
        <cfvo type="min"/>
        <cfvo type="percentile" val="50"/>
        <cfvo type="max"/>
        <color rgb="FFF8696B"/>
        <color rgb="FFFFEB84"/>
        <color rgb="FF63BE7B"/>
      </colorScale>
    </cfRule>
  </conditionalFormatting>
  <conditionalFormatting sqref="F3:F30">
    <cfRule type="colorScale" priority="2">
      <colorScale>
        <cfvo type="min"/>
        <cfvo type="percentile" val="50"/>
        <cfvo type="max"/>
        <color rgb="FFF8696B"/>
        <color rgb="FFFFEB84"/>
        <color rgb="FF63BE7B"/>
      </colorScale>
    </cfRule>
  </conditionalFormatting>
  <conditionalFormatting sqref="F4:F30">
    <cfRule type="colorScale" priority="5">
      <colorScale>
        <cfvo type="min"/>
        <cfvo type="percentile" val="50"/>
        <cfvo type="max"/>
        <color rgb="FF5A8AC6"/>
        <color rgb="FFFCFCFF"/>
        <color rgb="FFF8696B"/>
      </colorScale>
    </cfRule>
  </conditionalFormatting>
  <conditionalFormatting sqref="I3:I30">
    <cfRule type="colorScale" priority="1">
      <colorScale>
        <cfvo type="min"/>
        <cfvo type="percentile" val="50"/>
        <cfvo type="max"/>
        <color rgb="FFF8696B"/>
        <color rgb="FFFFEB84"/>
        <color rgb="FF63BE7B"/>
      </colorScale>
    </cfRule>
  </conditionalFormatting>
  <pageMargins left="0.7" right="0.7" top="0.75" bottom="0.75" header="0.3" footer="0.3"/>
  <drawing r:id="rId1"/>
  <tableParts count="6">
    <tablePart r:id="rId2"/>
    <tablePart r:id="rId3"/>
    <tablePart r:id="rId4"/>
    <tablePart r:id="rId5"/>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612C3-22AF-4630-896F-210E1854C94B}">
  <dimension ref="B1:V205"/>
  <sheetViews>
    <sheetView tabSelected="1" topLeftCell="A35" zoomScale="82" zoomScaleNormal="85" workbookViewId="0">
      <selection activeCell="L4" sqref="L4"/>
    </sheetView>
  </sheetViews>
  <sheetFormatPr defaultRowHeight="14.4" x14ac:dyDescent="0.3"/>
  <cols>
    <col min="6" max="6" width="14.109375" customWidth="1"/>
    <col min="7" max="7" width="12.88671875" customWidth="1"/>
    <col min="11" max="11" width="15.109375" customWidth="1"/>
    <col min="12" max="12" width="12.88671875" customWidth="1"/>
    <col min="16" max="16" width="12.33203125" customWidth="1"/>
    <col min="17" max="17" width="12.88671875" customWidth="1"/>
  </cols>
  <sheetData>
    <row r="1" spans="10:12" x14ac:dyDescent="0.3">
      <c r="J1" s="76" t="s">
        <v>250</v>
      </c>
      <c r="K1" s="76"/>
      <c r="L1" s="76"/>
    </row>
    <row r="2" spans="10:12" x14ac:dyDescent="0.3">
      <c r="J2" s="76"/>
      <c r="K2" s="76"/>
      <c r="L2" s="76"/>
    </row>
    <row r="3" spans="10:12" ht="16.8" customHeight="1" x14ac:dyDescent="0.5">
      <c r="J3" s="68"/>
      <c r="K3" s="68"/>
      <c r="L3" s="68"/>
    </row>
    <row r="4" spans="10:12" ht="25.8" x14ac:dyDescent="0.5">
      <c r="J4" s="68"/>
      <c r="K4" s="68"/>
      <c r="L4" s="68"/>
    </row>
    <row r="5" spans="10:12" ht="25.8" x14ac:dyDescent="0.5">
      <c r="J5" s="68"/>
      <c r="K5" s="68"/>
      <c r="L5" s="68"/>
    </row>
    <row r="6" spans="10:12" ht="25.8" x14ac:dyDescent="0.5">
      <c r="J6" s="68"/>
      <c r="K6" s="68"/>
      <c r="L6" s="68"/>
    </row>
    <row r="7" spans="10:12" ht="25.8" x14ac:dyDescent="0.5">
      <c r="J7" s="68"/>
      <c r="K7" s="68"/>
      <c r="L7" s="68"/>
    </row>
    <row r="8" spans="10:12" ht="25.8" x14ac:dyDescent="0.5">
      <c r="J8" s="68"/>
      <c r="K8" s="68"/>
      <c r="L8" s="68"/>
    </row>
    <row r="9" spans="10:12" ht="25.8" x14ac:dyDescent="0.5">
      <c r="J9" s="68"/>
      <c r="K9" s="68"/>
      <c r="L9" s="68"/>
    </row>
    <row r="10" spans="10:12" ht="25.8" x14ac:dyDescent="0.5">
      <c r="J10" s="68"/>
      <c r="K10" s="68"/>
      <c r="L10" s="68"/>
    </row>
    <row r="11" spans="10:12" ht="25.8" x14ac:dyDescent="0.5">
      <c r="J11" s="68"/>
      <c r="K11" s="68"/>
      <c r="L11" s="68"/>
    </row>
    <row r="12" spans="10:12" ht="15.6" customHeight="1" x14ac:dyDescent="0.5">
      <c r="J12" s="68"/>
      <c r="K12" s="68"/>
      <c r="L12" s="68"/>
    </row>
    <row r="50" spans="10:12" x14ac:dyDescent="0.3">
      <c r="J50" s="76" t="s">
        <v>251</v>
      </c>
      <c r="K50" s="76"/>
      <c r="L50" s="76"/>
    </row>
    <row r="51" spans="10:12" x14ac:dyDescent="0.3">
      <c r="J51" s="76"/>
      <c r="K51" s="76"/>
      <c r="L51" s="76"/>
    </row>
    <row r="77" spans="10:12" x14ac:dyDescent="0.3">
      <c r="J77" s="76" t="s">
        <v>252</v>
      </c>
      <c r="K77" s="76"/>
      <c r="L77" s="76"/>
    </row>
    <row r="78" spans="10:12" x14ac:dyDescent="0.3">
      <c r="J78" s="76"/>
      <c r="K78" s="76"/>
      <c r="L78" s="76"/>
    </row>
    <row r="99" spans="10:12" ht="14.4" customHeight="1" x14ac:dyDescent="0.5">
      <c r="K99" s="72"/>
      <c r="L99" s="72"/>
    </row>
    <row r="100" spans="10:12" ht="14.4" customHeight="1" x14ac:dyDescent="0.5">
      <c r="J100" s="72"/>
      <c r="K100" s="72"/>
      <c r="L100" s="72"/>
    </row>
    <row r="101" spans="10:12" ht="14.4" customHeight="1" x14ac:dyDescent="0.5">
      <c r="J101" s="72"/>
      <c r="K101" s="72"/>
      <c r="L101" s="72"/>
    </row>
    <row r="102" spans="10:12" ht="14.4" customHeight="1" x14ac:dyDescent="0.5">
      <c r="J102" s="72"/>
      <c r="K102" s="72"/>
      <c r="L102" s="72"/>
    </row>
    <row r="103" spans="10:12" ht="14.4" customHeight="1" x14ac:dyDescent="0.5">
      <c r="J103" s="72"/>
      <c r="K103" s="72"/>
      <c r="L103" s="72"/>
    </row>
    <row r="104" spans="10:12" ht="14.4" customHeight="1" x14ac:dyDescent="0.5">
      <c r="J104" s="72"/>
      <c r="K104" s="72"/>
      <c r="L104" s="72"/>
    </row>
    <row r="105" spans="10:12" ht="14.4" customHeight="1" x14ac:dyDescent="0.5">
      <c r="J105" s="72"/>
      <c r="K105" s="72"/>
      <c r="L105" s="72"/>
    </row>
    <row r="106" spans="10:12" ht="14.4" customHeight="1" x14ac:dyDescent="0.5">
      <c r="J106" s="72"/>
      <c r="K106" s="72"/>
      <c r="L106" s="72"/>
    </row>
    <row r="107" spans="10:12" ht="14.4" customHeight="1" x14ac:dyDescent="0.5">
      <c r="J107" s="72"/>
      <c r="K107" s="72"/>
      <c r="L107" s="72"/>
    </row>
    <row r="108" spans="10:12" ht="14.4" customHeight="1" x14ac:dyDescent="0.5">
      <c r="J108" s="72"/>
      <c r="K108" s="72"/>
      <c r="L108" s="72"/>
    </row>
    <row r="109" spans="10:12" ht="14.4" customHeight="1" x14ac:dyDescent="0.5">
      <c r="J109" s="72"/>
      <c r="K109" s="72"/>
      <c r="L109" s="72"/>
    </row>
    <row r="110" spans="10:12" ht="14.4" customHeight="1" x14ac:dyDescent="0.5">
      <c r="J110" s="72"/>
      <c r="K110" s="72"/>
      <c r="L110" s="72"/>
    </row>
    <row r="111" spans="10:12" ht="14.4" customHeight="1" x14ac:dyDescent="0.5">
      <c r="J111" s="72"/>
      <c r="K111" s="72"/>
      <c r="L111" s="72"/>
    </row>
    <row r="112" spans="10:12" ht="14.4" customHeight="1" x14ac:dyDescent="0.5">
      <c r="J112" s="72"/>
      <c r="K112" s="72"/>
      <c r="L112" s="72"/>
    </row>
    <row r="113" spans="10:12" ht="14.4" customHeight="1" x14ac:dyDescent="0.5">
      <c r="J113" s="72"/>
      <c r="K113" s="72"/>
      <c r="L113" s="72"/>
    </row>
    <row r="114" spans="10:12" ht="14.4" customHeight="1" x14ac:dyDescent="0.5">
      <c r="J114" s="72"/>
      <c r="K114" s="72"/>
      <c r="L114" s="72"/>
    </row>
    <row r="115" spans="10:12" ht="14.4" customHeight="1" x14ac:dyDescent="0.5">
      <c r="J115" s="72"/>
      <c r="K115" s="72"/>
      <c r="L115" s="72"/>
    </row>
    <row r="116" spans="10:12" ht="14.4" customHeight="1" x14ac:dyDescent="0.5">
      <c r="J116" s="72"/>
      <c r="K116" s="72"/>
      <c r="L116" s="72"/>
    </row>
    <row r="117" spans="10:12" ht="14.4" customHeight="1" x14ac:dyDescent="0.5">
      <c r="J117" s="72"/>
      <c r="K117" s="72"/>
      <c r="L117" s="72"/>
    </row>
    <row r="118" spans="10:12" ht="14.4" customHeight="1" x14ac:dyDescent="0.5">
      <c r="J118" s="72"/>
      <c r="K118" s="72"/>
      <c r="L118" s="72"/>
    </row>
    <row r="119" spans="10:12" ht="14.4" customHeight="1" x14ac:dyDescent="0.5">
      <c r="J119" s="72"/>
      <c r="K119" s="72"/>
      <c r="L119" s="72"/>
    </row>
    <row r="120" spans="10:12" ht="14.4" customHeight="1" x14ac:dyDescent="0.5">
      <c r="J120" s="72"/>
      <c r="K120" s="72"/>
      <c r="L120" s="72"/>
    </row>
    <row r="121" spans="10:12" ht="14.4" customHeight="1" x14ac:dyDescent="0.5">
      <c r="J121" s="72"/>
      <c r="K121" s="72"/>
      <c r="L121" s="72"/>
    </row>
    <row r="122" spans="10:12" ht="14.4" customHeight="1" x14ac:dyDescent="0.5">
      <c r="J122" s="72"/>
      <c r="K122" s="72"/>
      <c r="L122" s="72"/>
    </row>
    <row r="123" spans="10:12" ht="14.4" customHeight="1" x14ac:dyDescent="0.5">
      <c r="J123" s="72"/>
      <c r="K123" s="72"/>
      <c r="L123" s="72"/>
    </row>
    <row r="124" spans="10:12" ht="14.4" customHeight="1" x14ac:dyDescent="0.5">
      <c r="J124" s="72"/>
      <c r="K124" s="72"/>
      <c r="L124" s="72"/>
    </row>
    <row r="125" spans="10:12" ht="14.4" customHeight="1" x14ac:dyDescent="0.3"/>
    <row r="126" spans="10:12" ht="14.4" customHeight="1" x14ac:dyDescent="0.3"/>
    <row r="129" spans="2:22" x14ac:dyDescent="0.3">
      <c r="D129" s="25"/>
      <c r="E129" s="25"/>
      <c r="F129" s="25"/>
      <c r="J129" s="51"/>
      <c r="K129" s="51"/>
      <c r="L129" s="51"/>
      <c r="P129" s="51"/>
      <c r="Q129" s="51"/>
      <c r="R129" s="51"/>
    </row>
    <row r="130" spans="2:22" x14ac:dyDescent="0.3">
      <c r="D130" s="25"/>
      <c r="E130" s="25"/>
      <c r="F130" s="25"/>
      <c r="J130" s="76" t="s">
        <v>253</v>
      </c>
      <c r="K130" s="76"/>
      <c r="L130" s="76"/>
      <c r="P130" s="51"/>
      <c r="Q130" s="51"/>
      <c r="R130" s="51"/>
    </row>
    <row r="131" spans="2:22" x14ac:dyDescent="0.3">
      <c r="D131" s="25"/>
      <c r="E131" s="25"/>
      <c r="F131" s="25"/>
      <c r="J131" s="76"/>
      <c r="K131" s="76"/>
      <c r="L131" s="76"/>
      <c r="P131" s="51"/>
      <c r="Q131" s="51"/>
      <c r="R131" s="51"/>
    </row>
    <row r="132" spans="2:22" ht="14.4" customHeight="1" x14ac:dyDescent="0.3">
      <c r="D132" s="25"/>
      <c r="E132" s="25"/>
      <c r="F132" s="25"/>
      <c r="J132" s="77" t="s">
        <v>248</v>
      </c>
      <c r="K132" s="77"/>
      <c r="L132" s="77"/>
      <c r="M132" s="74"/>
      <c r="P132" s="51"/>
      <c r="Q132" s="51"/>
      <c r="R132" s="51"/>
    </row>
    <row r="133" spans="2:22" x14ac:dyDescent="0.3">
      <c r="D133" s="25"/>
      <c r="E133" s="25"/>
      <c r="F133" s="25"/>
      <c r="I133" s="74"/>
      <c r="J133" s="77"/>
      <c r="K133" s="77"/>
      <c r="L133" s="77"/>
      <c r="M133" s="74"/>
      <c r="P133" s="51"/>
      <c r="Q133" s="51"/>
      <c r="R133" s="51"/>
    </row>
    <row r="134" spans="2:22" x14ac:dyDescent="0.3">
      <c r="B134" s="41" t="s">
        <v>0</v>
      </c>
      <c r="C134" t="s">
        <v>235</v>
      </c>
      <c r="D134" t="s">
        <v>195</v>
      </c>
      <c r="E134" t="s">
        <v>196</v>
      </c>
      <c r="F134" t="s">
        <v>197</v>
      </c>
      <c r="H134" s="52" t="s">
        <v>0</v>
      </c>
      <c r="I134" t="s">
        <v>235</v>
      </c>
      <c r="J134" t="s">
        <v>195</v>
      </c>
      <c r="K134" t="s">
        <v>196</v>
      </c>
      <c r="L134" t="s">
        <v>197</v>
      </c>
      <c r="N134" s="52" t="s">
        <v>0</v>
      </c>
      <c r="O134" t="s">
        <v>235</v>
      </c>
      <c r="P134" t="s">
        <v>195</v>
      </c>
      <c r="Q134" t="s">
        <v>196</v>
      </c>
      <c r="R134" t="s">
        <v>197</v>
      </c>
    </row>
    <row r="135" spans="2:22" x14ac:dyDescent="0.3">
      <c r="B135" s="4" t="s">
        <v>30</v>
      </c>
      <c r="C135" s="4" t="s">
        <v>226</v>
      </c>
      <c r="D135" s="25">
        <v>0.01</v>
      </c>
      <c r="E135" s="25">
        <v>7.0000000000000007E-2</v>
      </c>
      <c r="F135" s="25">
        <v>0.05</v>
      </c>
      <c r="H135" s="4" t="s">
        <v>35</v>
      </c>
      <c r="I135" s="4" t="s">
        <v>226</v>
      </c>
      <c r="J135" s="25">
        <v>0.02</v>
      </c>
      <c r="K135" s="25">
        <v>7.0000000000000007E-2</v>
      </c>
      <c r="L135" s="25">
        <v>0.05</v>
      </c>
      <c r="N135" s="4" t="s">
        <v>33</v>
      </c>
      <c r="O135" s="4" t="s">
        <v>226</v>
      </c>
      <c r="P135" s="25">
        <v>0.02</v>
      </c>
      <c r="Q135" s="25">
        <v>0.06</v>
      </c>
      <c r="R135" s="25">
        <v>0.04</v>
      </c>
    </row>
    <row r="136" spans="2:22" x14ac:dyDescent="0.3">
      <c r="B136" s="4" t="s">
        <v>30</v>
      </c>
      <c r="C136" s="4" t="s">
        <v>227</v>
      </c>
      <c r="D136" s="25">
        <v>7.328101450028536E-2</v>
      </c>
      <c r="E136" s="25">
        <v>4.1888297872340309E-2</v>
      </c>
      <c r="F136" s="25">
        <v>3.4517067197306094E-2</v>
      </c>
      <c r="H136" s="4" t="s">
        <v>35</v>
      </c>
      <c r="I136" s="4" t="s">
        <v>227</v>
      </c>
      <c r="J136" s="50">
        <v>7.2778239202657705E-2</v>
      </c>
      <c r="K136" s="50">
        <v>4.1723666210670474E-2</v>
      </c>
      <c r="L136" s="50">
        <v>3.8641188959660233E-2</v>
      </c>
      <c r="N136" s="4" t="s">
        <v>33</v>
      </c>
      <c r="O136" s="4" t="s">
        <v>227</v>
      </c>
      <c r="P136" s="50">
        <v>7.1417489786419888E-2</v>
      </c>
      <c r="Q136" s="50">
        <v>4.1666666666666755E-2</v>
      </c>
      <c r="R136" s="50">
        <v>4.4827586206896662E-2</v>
      </c>
    </row>
    <row r="137" spans="2:22" x14ac:dyDescent="0.3">
      <c r="B137" s="4" t="s">
        <v>30</v>
      </c>
      <c r="C137" s="4" t="s">
        <v>228</v>
      </c>
      <c r="D137" s="25">
        <v>7.2158423003888389E-2</v>
      </c>
      <c r="E137" s="25">
        <v>0.06</v>
      </c>
      <c r="F137" s="25">
        <v>0.06</v>
      </c>
      <c r="H137" s="4" t="s">
        <v>35</v>
      </c>
      <c r="I137" s="4" t="s">
        <v>228</v>
      </c>
      <c r="J137" s="51">
        <v>7.0000000000000007E-2</v>
      </c>
      <c r="K137" s="51">
        <v>7.0000000000000007E-2</v>
      </c>
      <c r="L137" s="51">
        <v>0.06</v>
      </c>
      <c r="N137" s="4" t="s">
        <v>33</v>
      </c>
      <c r="O137" s="4" t="s">
        <v>228</v>
      </c>
      <c r="P137" s="51">
        <v>0.08</v>
      </c>
      <c r="Q137" s="51">
        <v>0.08</v>
      </c>
      <c r="R137" s="51">
        <v>7.0000000000000007E-2</v>
      </c>
    </row>
    <row r="138" spans="2:22" x14ac:dyDescent="0.3">
      <c r="L138" s="78" t="s">
        <v>261</v>
      </c>
      <c r="M138" s="79"/>
      <c r="N138" s="79"/>
      <c r="O138" s="79"/>
      <c r="P138" s="79"/>
      <c r="Q138" s="79"/>
      <c r="R138" s="79"/>
      <c r="S138" s="79"/>
      <c r="T138" s="79"/>
      <c r="U138" s="79"/>
      <c r="V138" s="79"/>
    </row>
    <row r="139" spans="2:22" x14ac:dyDescent="0.3">
      <c r="L139" s="79"/>
      <c r="M139" s="79"/>
      <c r="N139" s="79"/>
      <c r="O139" s="79"/>
      <c r="P139" s="79"/>
      <c r="Q139" s="79"/>
      <c r="R139" s="79"/>
      <c r="S139" s="79"/>
      <c r="T139" s="79"/>
      <c r="U139" s="79"/>
      <c r="V139" s="79"/>
    </row>
    <row r="174" spans="6:17" x14ac:dyDescent="0.3">
      <c r="J174" s="76" t="s">
        <v>254</v>
      </c>
      <c r="K174" s="76"/>
      <c r="L174" s="76"/>
    </row>
    <row r="175" spans="6:17" x14ac:dyDescent="0.3">
      <c r="J175" s="76"/>
      <c r="K175" s="76"/>
      <c r="L175" s="76"/>
    </row>
    <row r="176" spans="6:17" ht="14.4" customHeight="1" x14ac:dyDescent="0.3">
      <c r="F176" s="75" t="s">
        <v>30</v>
      </c>
      <c r="G176" s="75"/>
      <c r="K176" s="75" t="s">
        <v>35</v>
      </c>
      <c r="L176" s="75"/>
      <c r="P176" s="75" t="s">
        <v>33</v>
      </c>
      <c r="Q176" s="75"/>
    </row>
    <row r="177" spans="6:17" ht="14.4" customHeight="1" x14ac:dyDescent="0.3">
      <c r="F177" s="75"/>
      <c r="G177" s="75"/>
      <c r="K177" s="75"/>
      <c r="L177" s="75"/>
      <c r="P177" s="75"/>
      <c r="Q177" s="75"/>
    </row>
    <row r="178" spans="6:17" x14ac:dyDescent="0.3">
      <c r="F178" t="s">
        <v>202</v>
      </c>
      <c r="G178" t="s">
        <v>205</v>
      </c>
      <c r="K178" t="s">
        <v>202</v>
      </c>
      <c r="L178" t="s">
        <v>205</v>
      </c>
      <c r="P178" t="s">
        <v>202</v>
      </c>
      <c r="Q178" t="s">
        <v>205</v>
      </c>
    </row>
    <row r="179" spans="6:17" x14ac:dyDescent="0.3">
      <c r="F179" t="s">
        <v>3</v>
      </c>
      <c r="G179" s="14">
        <v>9.517783971742598E-2</v>
      </c>
      <c r="K179" t="s">
        <v>3</v>
      </c>
      <c r="L179" s="14">
        <v>9.8634814329868994E-2</v>
      </c>
      <c r="P179" t="s">
        <v>3</v>
      </c>
      <c r="Q179" s="14">
        <v>0.1120984643229099</v>
      </c>
    </row>
    <row r="180" spans="6:17" x14ac:dyDescent="0.3">
      <c r="F180" t="s">
        <v>4</v>
      </c>
      <c r="G180" s="14">
        <v>0.67992492423857931</v>
      </c>
      <c r="K180" t="s">
        <v>4</v>
      </c>
      <c r="L180" s="14">
        <v>0.67992538398614677</v>
      </c>
      <c r="P180" t="s">
        <v>4</v>
      </c>
      <c r="Q180" s="14">
        <v>0.678975852644641</v>
      </c>
    </row>
    <row r="181" spans="6:17" x14ac:dyDescent="0.3">
      <c r="F181" t="s">
        <v>5</v>
      </c>
      <c r="G181" s="14">
        <v>-0.32345910218262292</v>
      </c>
      <c r="K181" t="s">
        <v>5</v>
      </c>
      <c r="L181" s="14">
        <v>-0.33154380465055644</v>
      </c>
      <c r="P181" t="s">
        <v>5</v>
      </c>
      <c r="Q181" s="14">
        <v>-0.37582174905936233</v>
      </c>
    </row>
    <row r="182" spans="6:17" x14ac:dyDescent="0.3">
      <c r="F182" t="s">
        <v>6</v>
      </c>
      <c r="G182" s="14">
        <v>0.1843566445832085</v>
      </c>
      <c r="K182" t="s">
        <v>6</v>
      </c>
      <c r="L182" s="14">
        <v>0.18126116174418996</v>
      </c>
      <c r="P182" t="s">
        <v>6</v>
      </c>
      <c r="Q182" s="14">
        <v>0.17895777633744342</v>
      </c>
    </row>
    <row r="183" spans="6:17" x14ac:dyDescent="0.3">
      <c r="F183" t="s">
        <v>7</v>
      </c>
      <c r="G183" s="14">
        <v>0.73976511931188638</v>
      </c>
      <c r="K183" t="s">
        <v>7</v>
      </c>
      <c r="L183" s="14">
        <v>0.75879920089049391</v>
      </c>
      <c r="P183" t="s">
        <v>7</v>
      </c>
      <c r="Q183" s="14">
        <v>0.80561160892489603</v>
      </c>
    </row>
    <row r="184" spans="6:17" x14ac:dyDescent="0.3">
      <c r="F184" t="s">
        <v>8</v>
      </c>
      <c r="G184" s="14">
        <v>0.33889935671978894</v>
      </c>
      <c r="K184" t="s">
        <v>8</v>
      </c>
      <c r="L184" s="14">
        <v>0.2944328890294215</v>
      </c>
      <c r="P184" t="s">
        <v>8</v>
      </c>
      <c r="Q184" s="14">
        <v>0.2258299892928308</v>
      </c>
    </row>
    <row r="185" spans="6:17" x14ac:dyDescent="0.3">
      <c r="F185" t="s">
        <v>9</v>
      </c>
      <c r="G185" s="14">
        <v>0.42619217967286926</v>
      </c>
      <c r="K185" t="s">
        <v>9</v>
      </c>
      <c r="L185" s="14">
        <v>0.44913950476419168</v>
      </c>
      <c r="P185" t="s">
        <v>9</v>
      </c>
      <c r="Q185" s="14">
        <v>0.46663722395581914</v>
      </c>
    </row>
    <row r="186" spans="6:17" x14ac:dyDescent="0.3">
      <c r="F186" t="s">
        <v>10</v>
      </c>
      <c r="G186" s="14">
        <v>-5.3420409199749601E-2</v>
      </c>
      <c r="K186" t="s">
        <v>10</v>
      </c>
      <c r="L186" s="14">
        <v>-0.12939252473711169</v>
      </c>
      <c r="P186" t="s">
        <v>10</v>
      </c>
      <c r="Q186" s="14">
        <v>-0.22967593983834458</v>
      </c>
    </row>
    <row r="187" spans="6:17" x14ac:dyDescent="0.3">
      <c r="F187" t="s">
        <v>11</v>
      </c>
      <c r="G187" s="14">
        <v>0.32291520156712294</v>
      </c>
      <c r="K187" t="s">
        <v>11</v>
      </c>
      <c r="L187" s="14">
        <v>0.29673944922670309</v>
      </c>
      <c r="P187" t="s">
        <v>11</v>
      </c>
      <c r="Q187" s="14">
        <v>0.34463437264205254</v>
      </c>
    </row>
    <row r="188" spans="6:17" x14ac:dyDescent="0.3">
      <c r="F188" t="s">
        <v>12</v>
      </c>
      <c r="G188" s="14">
        <v>0.18137325821539677</v>
      </c>
      <c r="K188" t="s">
        <v>12</v>
      </c>
      <c r="L188" s="14">
        <v>0.1826393770131538</v>
      </c>
      <c r="P188" t="s">
        <v>12</v>
      </c>
      <c r="Q188" s="14">
        <v>0.18601057156414527</v>
      </c>
    </row>
    <row r="189" spans="6:17" x14ac:dyDescent="0.3">
      <c r="F189" t="s">
        <v>13</v>
      </c>
      <c r="G189" s="14">
        <v>0.40587295569384702</v>
      </c>
      <c r="K189" t="s">
        <v>13</v>
      </c>
      <c r="L189" s="14">
        <v>0.34204292757843474</v>
      </c>
      <c r="P189" t="s">
        <v>13</v>
      </c>
      <c r="Q189" s="14">
        <v>0.25136745740818767</v>
      </c>
    </row>
    <row r="190" spans="6:17" x14ac:dyDescent="0.3">
      <c r="F190" t="s">
        <v>14</v>
      </c>
      <c r="G190" s="14">
        <v>0.30819824254880357</v>
      </c>
      <c r="K190" t="s">
        <v>14</v>
      </c>
      <c r="L190" s="14">
        <v>0.30194792204277632</v>
      </c>
      <c r="P190" t="s">
        <v>14</v>
      </c>
      <c r="Q190" s="14">
        <v>0.30080066329796079</v>
      </c>
    </row>
    <row r="191" spans="6:17" x14ac:dyDescent="0.3">
      <c r="F191" t="s">
        <v>15</v>
      </c>
      <c r="G191" s="14">
        <v>0.42284747791897515</v>
      </c>
      <c r="K191" t="s">
        <v>15</v>
      </c>
      <c r="L191" s="14">
        <v>0.43280544153514783</v>
      </c>
      <c r="P191" t="s">
        <v>15</v>
      </c>
      <c r="Q191" s="14">
        <v>0.45071878106778407</v>
      </c>
    </row>
    <row r="192" spans="6:17" x14ac:dyDescent="0.3">
      <c r="F192" t="s">
        <v>16</v>
      </c>
      <c r="G192" s="14">
        <v>0.1840823165563058</v>
      </c>
      <c r="K192" t="s">
        <v>16</v>
      </c>
      <c r="L192" s="14">
        <v>0.14932219704278443</v>
      </c>
      <c r="P192" t="s">
        <v>16</v>
      </c>
      <c r="Q192" s="14">
        <v>4.413276958581995E-2</v>
      </c>
    </row>
    <row r="193" spans="6:17" x14ac:dyDescent="0.3">
      <c r="F193" t="s">
        <v>17</v>
      </c>
      <c r="G193" s="14">
        <v>0.35039561873965208</v>
      </c>
      <c r="K193" t="s">
        <v>17</v>
      </c>
      <c r="L193" s="14">
        <v>0.34584309116404416</v>
      </c>
      <c r="P193" t="s">
        <v>17</v>
      </c>
      <c r="Q193" s="14">
        <v>0.34214302772737376</v>
      </c>
    </row>
    <row r="194" spans="6:17" x14ac:dyDescent="0.3">
      <c r="F194" t="s">
        <v>18</v>
      </c>
      <c r="G194" s="14">
        <v>0.40988870997765542</v>
      </c>
      <c r="K194" t="s">
        <v>18</v>
      </c>
      <c r="L194" s="14">
        <v>0.38937865925155146</v>
      </c>
      <c r="P194" t="s">
        <v>18</v>
      </c>
      <c r="Q194" s="14">
        <v>0.3612979706086154</v>
      </c>
    </row>
    <row r="195" spans="6:17" x14ac:dyDescent="0.3">
      <c r="F195" t="s">
        <v>19</v>
      </c>
      <c r="G195" s="14">
        <v>0.3593037776494043</v>
      </c>
      <c r="K195" t="s">
        <v>19</v>
      </c>
      <c r="L195" s="14">
        <v>0.35337628090977957</v>
      </c>
      <c r="P195" t="s">
        <v>19</v>
      </c>
      <c r="Q195" s="14">
        <v>0.34526176363818784</v>
      </c>
    </row>
    <row r="196" spans="6:17" x14ac:dyDescent="0.3">
      <c r="F196" t="s">
        <v>20</v>
      </c>
      <c r="G196" s="14" t="s">
        <v>32</v>
      </c>
      <c r="K196" t="s">
        <v>20</v>
      </c>
      <c r="L196" s="14">
        <v>0.23713189120949721</v>
      </c>
      <c r="P196" t="s">
        <v>20</v>
      </c>
      <c r="Q196" s="14">
        <v>0.23713189120949721</v>
      </c>
    </row>
    <row r="197" spans="6:17" x14ac:dyDescent="0.3">
      <c r="F197" t="s">
        <v>21</v>
      </c>
      <c r="G197" s="14">
        <v>0.40977216366097546</v>
      </c>
      <c r="K197" t="s">
        <v>21</v>
      </c>
      <c r="L197" s="14">
        <v>0.39522370384457078</v>
      </c>
      <c r="P197" t="s">
        <v>21</v>
      </c>
      <c r="Q197" s="14">
        <v>0.37807201489532255</v>
      </c>
    </row>
    <row r="198" spans="6:17" x14ac:dyDescent="0.3">
      <c r="F198" t="s">
        <v>22</v>
      </c>
      <c r="G198" s="14">
        <v>0.30660101768569331</v>
      </c>
      <c r="K198" t="s">
        <v>22</v>
      </c>
      <c r="L198" s="14">
        <v>0.32600399207389963</v>
      </c>
      <c r="P198" t="s">
        <v>22</v>
      </c>
      <c r="Q198" s="14">
        <v>0.35181594296036034</v>
      </c>
    </row>
    <row r="199" spans="6:17" x14ac:dyDescent="0.3">
      <c r="F199" t="s">
        <v>23</v>
      </c>
      <c r="G199" s="14">
        <v>0.27660394713950975</v>
      </c>
      <c r="K199" t="s">
        <v>23</v>
      </c>
      <c r="L199" s="14">
        <v>0.27018090587929278</v>
      </c>
      <c r="P199" t="s">
        <v>23</v>
      </c>
      <c r="Q199" s="14">
        <v>0.26656611635452054</v>
      </c>
    </row>
    <row r="200" spans="6:17" x14ac:dyDescent="0.3">
      <c r="F200" t="s">
        <v>24</v>
      </c>
      <c r="G200" s="14">
        <v>0.49646430328725349</v>
      </c>
      <c r="K200" t="s">
        <v>24</v>
      </c>
      <c r="L200" s="14">
        <v>0.51557042552906418</v>
      </c>
      <c r="P200" t="s">
        <v>24</v>
      </c>
      <c r="Q200" s="14">
        <v>0.53583549947068165</v>
      </c>
    </row>
    <row r="201" spans="6:17" x14ac:dyDescent="0.3">
      <c r="F201" t="s">
        <v>25</v>
      </c>
      <c r="G201" s="14">
        <v>0.37275750177507344</v>
      </c>
      <c r="K201" t="s">
        <v>25</v>
      </c>
      <c r="L201" s="14">
        <v>0.42044385053311606</v>
      </c>
      <c r="P201" t="s">
        <v>25</v>
      </c>
      <c r="Q201" s="14">
        <v>0.44989559354085079</v>
      </c>
    </row>
    <row r="202" spans="6:17" x14ac:dyDescent="0.3">
      <c r="F202" t="s">
        <v>26</v>
      </c>
      <c r="G202" s="14">
        <v>0.24735977404230397</v>
      </c>
      <c r="K202" t="s">
        <v>26</v>
      </c>
      <c r="L202" s="14">
        <v>0.26029261296803219</v>
      </c>
      <c r="P202" t="s">
        <v>26</v>
      </c>
      <c r="Q202" s="14">
        <v>0.27327717518229311</v>
      </c>
    </row>
    <row r="203" spans="6:17" x14ac:dyDescent="0.3">
      <c r="F203" t="s">
        <v>27</v>
      </c>
      <c r="G203" s="14">
        <v>0.23533617512180396</v>
      </c>
      <c r="K203" t="s">
        <v>27</v>
      </c>
      <c r="L203" s="14">
        <v>0.23018482023696962</v>
      </c>
      <c r="P203" t="s">
        <v>27</v>
      </c>
      <c r="Q203" s="14">
        <v>0.22095711909562235</v>
      </c>
    </row>
    <row r="204" spans="6:17" x14ac:dyDescent="0.3">
      <c r="F204" t="s">
        <v>28</v>
      </c>
      <c r="G204" s="14">
        <v>0.33466632734967688</v>
      </c>
      <c r="K204" t="s">
        <v>28</v>
      </c>
      <c r="L204" s="14">
        <v>0.35047898033301006</v>
      </c>
      <c r="P204" t="s">
        <v>28</v>
      </c>
      <c r="Q204" s="14">
        <v>0.36683885506545372</v>
      </c>
    </row>
    <row r="205" spans="6:17" x14ac:dyDescent="0.3">
      <c r="F205" t="s">
        <v>29</v>
      </c>
      <c r="G205" s="14">
        <v>0.39312305017293386</v>
      </c>
      <c r="K205" t="s">
        <v>29</v>
      </c>
      <c r="L205" s="14">
        <v>0.38680786018358077</v>
      </c>
      <c r="P205" t="s">
        <v>29</v>
      </c>
      <c r="Q205" s="14">
        <v>0.3807795468551527</v>
      </c>
    </row>
  </sheetData>
  <mergeCells count="10">
    <mergeCell ref="F176:G177"/>
    <mergeCell ref="K176:L177"/>
    <mergeCell ref="P176:Q177"/>
    <mergeCell ref="J1:L2"/>
    <mergeCell ref="J50:L51"/>
    <mergeCell ref="J77:L78"/>
    <mergeCell ref="J174:L175"/>
    <mergeCell ref="J130:L131"/>
    <mergeCell ref="J132:L133"/>
    <mergeCell ref="L138:V139"/>
  </mergeCells>
  <pageMargins left="0.7" right="0.7" top="0.75" bottom="0.75" header="0.3" footer="0.3"/>
  <drawing r:id="rId1"/>
  <tableParts count="6">
    <tablePart r:id="rId2"/>
    <tablePart r:id="rId3"/>
    <tablePart r:id="rId4"/>
    <tablePart r:id="rId5"/>
    <tablePart r:id="rId6"/>
    <tablePart r:id="rId7"/>
  </tableParts>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894A1E-4517-4147-8D2A-416411E35C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random data</vt:lpstr>
      <vt:lpstr>Insight Question 1</vt:lpstr>
      <vt:lpstr>Insight Question 2</vt:lpstr>
      <vt:lpstr>Insight Question 3</vt:lpstr>
      <vt:lpstr>Insight Question 4</vt:lpstr>
      <vt:lpstr>Inisght Question 5</vt:lpstr>
      <vt:lpstr>Answer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2015-06-05T18:17:20Z</dcterms:created>
  <dcterms:modified xsi:type="dcterms:W3CDTF">2026-05-10T13:00:35Z</dcterms:modified>
</cp:coreProperties>
</file>